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lag-my.sharepoint.com/personal/vitthal_sawant_hlag_com/Documents/Desktop/SaiDham/"/>
    </mc:Choice>
  </mc:AlternateContent>
  <xr:revisionPtr revIDLastSave="968" documentId="8_{E3CB8B3F-1FAC-4015-9B46-396DC7A77712}" xr6:coauthVersionLast="47" xr6:coauthVersionMax="47" xr10:uidLastSave="{91DFCC26-7D31-454D-A082-721380BBB552}"/>
  <bookViews>
    <workbookView xWindow="-110" yWindow="-110" windowWidth="19420" windowHeight="11500" tabRatio="744" activeTab="3" xr2:uid="{B29EA0C4-B640-4C82-AABC-D3AC82A88D98}"/>
  </bookViews>
  <sheets>
    <sheet name="P&amp;L" sheetId="2" r:id="rId1"/>
    <sheet name="Daily Expenses" sheetId="8" r:id="rId2"/>
    <sheet name="Recurring Cost" sheetId="9" r:id="rId3"/>
    <sheet name="Balance Sheet" sheetId="3" r:id="rId4"/>
  </sheets>
  <externalReferences>
    <externalReference r:id="rId5"/>
    <externalReference r:id="rId6"/>
  </externalReferences>
  <definedNames>
    <definedName name="_xlnm._FilterDatabase" localSheetId="1" hidden="1">'Daily Expenses'!$A$2:$AI$459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5" i="2"/>
  <c r="B24" i="2"/>
  <c r="Z30" i="2"/>
  <c r="Z29" i="2"/>
  <c r="Z28" i="2"/>
  <c r="Z27" i="2"/>
  <c r="Z26" i="2"/>
  <c r="X30" i="2"/>
  <c r="X29" i="2"/>
  <c r="X28" i="2"/>
  <c r="X27" i="2"/>
  <c r="X26" i="2"/>
  <c r="V30" i="2"/>
  <c r="V29" i="2"/>
  <c r="V28" i="2"/>
  <c r="V27" i="2"/>
  <c r="V26" i="2"/>
  <c r="T30" i="2"/>
  <c r="T29" i="2"/>
  <c r="T28" i="2"/>
  <c r="T27" i="2"/>
  <c r="T26" i="2"/>
  <c r="R30" i="2"/>
  <c r="R29" i="2"/>
  <c r="R28" i="2"/>
  <c r="R27" i="2"/>
  <c r="R26" i="2"/>
  <c r="P30" i="2"/>
  <c r="P29" i="2"/>
  <c r="P28" i="2"/>
  <c r="P27" i="2"/>
  <c r="P26" i="2"/>
  <c r="N30" i="2"/>
  <c r="N29" i="2"/>
  <c r="N28" i="2"/>
  <c r="N27" i="2"/>
  <c r="N26" i="2"/>
  <c r="L30" i="2"/>
  <c r="L29" i="2"/>
  <c r="L28" i="2"/>
  <c r="L27" i="2"/>
  <c r="L26" i="2"/>
  <c r="J30" i="2"/>
  <c r="J29" i="2"/>
  <c r="J28" i="2"/>
  <c r="J27" i="2"/>
  <c r="J26" i="2"/>
  <c r="H30" i="2"/>
  <c r="H29" i="2"/>
  <c r="H28" i="2"/>
  <c r="H27" i="2"/>
  <c r="H26" i="2"/>
  <c r="Z25" i="2"/>
  <c r="X25" i="2"/>
  <c r="V25" i="2"/>
  <c r="T25" i="2"/>
  <c r="R25" i="2"/>
  <c r="P25" i="2"/>
  <c r="N25" i="2"/>
  <c r="L25" i="2"/>
  <c r="J25" i="2"/>
  <c r="H25" i="2"/>
  <c r="Z24" i="2"/>
  <c r="X24" i="2"/>
  <c r="V24" i="2"/>
  <c r="T24" i="2"/>
  <c r="R24" i="2"/>
  <c r="P24" i="2"/>
  <c r="N24" i="2"/>
  <c r="L24" i="2"/>
  <c r="J24" i="2"/>
  <c r="H24" i="2"/>
  <c r="Z18" i="2"/>
  <c r="X18" i="2"/>
  <c r="V18" i="2"/>
  <c r="T18" i="2"/>
  <c r="R18" i="2"/>
  <c r="P18" i="2"/>
  <c r="N18" i="2"/>
  <c r="L18" i="2"/>
  <c r="J18" i="2"/>
  <c r="H18" i="2"/>
  <c r="F18" i="2"/>
  <c r="D18" i="2"/>
  <c r="B17" i="2"/>
  <c r="B16" i="2"/>
  <c r="Z16" i="2"/>
  <c r="X16" i="2"/>
  <c r="V16" i="2"/>
  <c r="J16" i="2"/>
  <c r="T16" i="2"/>
  <c r="R16" i="2"/>
  <c r="P16" i="2"/>
  <c r="N16" i="2"/>
  <c r="L16" i="2"/>
  <c r="H16" i="2"/>
  <c r="Z15" i="2"/>
  <c r="X15" i="2"/>
  <c r="V15" i="2"/>
  <c r="T15" i="2"/>
  <c r="R15" i="2"/>
  <c r="P15" i="2"/>
  <c r="N15" i="2"/>
  <c r="L15" i="2"/>
  <c r="J15" i="2"/>
  <c r="H15" i="2"/>
  <c r="F15" i="2"/>
  <c r="D15" i="2"/>
  <c r="B10" i="2"/>
  <c r="B15" i="2" l="1"/>
  <c r="Z39" i="2" l="1"/>
  <c r="X39" i="2"/>
  <c r="AA37" i="2"/>
  <c r="Y37" i="2"/>
  <c r="AA32" i="2"/>
  <c r="Y32" i="2"/>
  <c r="Z17" i="2"/>
  <c r="AA19" i="2" s="1"/>
  <c r="X17" i="2"/>
  <c r="Y19" i="2" s="1"/>
  <c r="AA11" i="2"/>
  <c r="Y11" i="2"/>
  <c r="V39" i="2"/>
  <c r="T39" i="2"/>
  <c r="W37" i="2"/>
  <c r="U37" i="2"/>
  <c r="U8" i="2"/>
  <c r="R39" i="2"/>
  <c r="P39" i="2"/>
  <c r="S37" i="2"/>
  <c r="Q37" i="2"/>
  <c r="N39" i="2"/>
  <c r="L39" i="2"/>
  <c r="O37" i="2"/>
  <c r="M37" i="2"/>
  <c r="J39" i="2"/>
  <c r="H39" i="2"/>
  <c r="K37" i="2"/>
  <c r="I37" i="2"/>
  <c r="O39" i="9"/>
  <c r="O28" i="9"/>
  <c r="O16" i="9"/>
  <c r="O9" i="9"/>
  <c r="O4" i="9"/>
  <c r="O5" i="9"/>
  <c r="O6" i="9"/>
  <c r="O10" i="9"/>
  <c r="O11" i="9"/>
  <c r="O14" i="9"/>
  <c r="O17" i="9"/>
  <c r="O18" i="9"/>
  <c r="O19" i="9"/>
  <c r="O20" i="9"/>
  <c r="O21" i="9"/>
  <c r="O22" i="9"/>
  <c r="O23" i="9"/>
  <c r="O24" i="9"/>
  <c r="O25" i="9"/>
  <c r="O26" i="9"/>
  <c r="O29" i="9"/>
  <c r="O30" i="9"/>
  <c r="O31" i="9"/>
  <c r="O32" i="9"/>
  <c r="O33" i="9"/>
  <c r="O34" i="9"/>
  <c r="O35" i="9"/>
  <c r="O36" i="9"/>
  <c r="O37" i="9"/>
  <c r="O40" i="9"/>
  <c r="O41" i="9"/>
  <c r="O42" i="9"/>
  <c r="O43" i="9"/>
  <c r="O46" i="9"/>
  <c r="O47" i="9"/>
  <c r="O3" i="9"/>
  <c r="D45" i="9"/>
  <c r="F30" i="2" s="1"/>
  <c r="C45" i="9"/>
  <c r="D30" i="2" s="1"/>
  <c r="F8" i="2"/>
  <c r="F7" i="2"/>
  <c r="D8" i="2"/>
  <c r="D7" i="2"/>
  <c r="B8" i="2" l="1"/>
  <c r="B7" i="2"/>
  <c r="C8" i="2" s="1"/>
  <c r="B30" i="2"/>
  <c r="Y21" i="2"/>
  <c r="Y34" i="2" s="1"/>
  <c r="Y39" i="2" s="1"/>
  <c r="AA21" i="2"/>
  <c r="AA34" i="2" s="1"/>
  <c r="AA39" i="2" s="1"/>
  <c r="M11" i="2"/>
  <c r="T17" i="2"/>
  <c r="U19" i="2" s="1"/>
  <c r="O11" i="2"/>
  <c r="V17" i="2"/>
  <c r="W19" i="2" s="1"/>
  <c r="Y8" i="2"/>
  <c r="AA8" i="2"/>
  <c r="Q11" i="2"/>
  <c r="U11" i="2"/>
  <c r="U32" i="2"/>
  <c r="S8" i="2"/>
  <c r="W11" i="2"/>
  <c r="W32" i="2"/>
  <c r="P17" i="2"/>
  <c r="Q19" i="2" s="1"/>
  <c r="R17" i="2"/>
  <c r="S19" i="2" s="1"/>
  <c r="W8" i="2"/>
  <c r="S11" i="2"/>
  <c r="S32" i="2"/>
  <c r="L17" i="2"/>
  <c r="M19" i="2" s="1"/>
  <c r="N17" i="2"/>
  <c r="O19" i="2" s="1"/>
  <c r="Q8" i="2"/>
  <c r="J17" i="2"/>
  <c r="K19" i="2" s="1"/>
  <c r="M8" i="2"/>
  <c r="O32" i="2"/>
  <c r="I32" i="2"/>
  <c r="O8" i="2"/>
  <c r="M32" i="2"/>
  <c r="K32" i="2"/>
  <c r="K11" i="2"/>
  <c r="H17" i="2"/>
  <c r="I19" i="2" s="1"/>
  <c r="I11" i="2"/>
  <c r="K8" i="2"/>
  <c r="I8" i="2"/>
  <c r="O45" i="9"/>
  <c r="Q32" i="2" s="1"/>
  <c r="E8" i="2"/>
  <c r="G8" i="2"/>
  <c r="S21" i="2" l="1"/>
  <c r="S34" i="2" s="1"/>
  <c r="S39" i="2" s="1"/>
  <c r="Q21" i="2"/>
  <c r="Q34" i="2" s="1"/>
  <c r="Q39" i="2" s="1"/>
  <c r="M21" i="2"/>
  <c r="M34" i="2" s="1"/>
  <c r="M39" i="2" s="1"/>
  <c r="I21" i="2"/>
  <c r="I34" i="2" s="1"/>
  <c r="I39" i="2" s="1"/>
  <c r="U21" i="2"/>
  <c r="U34" i="2" s="1"/>
  <c r="U39" i="2" s="1"/>
  <c r="W21" i="2"/>
  <c r="W34" i="2" s="1"/>
  <c r="W39" i="2" s="1"/>
  <c r="O21" i="2"/>
  <c r="O34" i="2" s="1"/>
  <c r="O39" i="2" s="1"/>
  <c r="K21" i="2"/>
  <c r="K34" i="2" s="1"/>
  <c r="K39" i="2" s="1"/>
  <c r="N48" i="9"/>
  <c r="M48" i="9"/>
  <c r="L48" i="9"/>
  <c r="K48" i="9"/>
  <c r="J48" i="9"/>
  <c r="I48" i="9"/>
  <c r="H48" i="9"/>
  <c r="G48" i="9"/>
  <c r="F48" i="9"/>
  <c r="E48" i="9"/>
  <c r="D48" i="9"/>
  <c r="N39" i="9"/>
  <c r="M39" i="9"/>
  <c r="L39" i="9"/>
  <c r="K39" i="9"/>
  <c r="J39" i="9"/>
  <c r="I39" i="9"/>
  <c r="H39" i="9"/>
  <c r="G39" i="9"/>
  <c r="F39" i="9"/>
  <c r="E39" i="9"/>
  <c r="D39" i="9"/>
  <c r="C39" i="9"/>
  <c r="N28" i="9"/>
  <c r="M28" i="9"/>
  <c r="L28" i="9"/>
  <c r="K28" i="9"/>
  <c r="J28" i="9"/>
  <c r="I28" i="9"/>
  <c r="H28" i="9"/>
  <c r="G28" i="9"/>
  <c r="F28" i="9"/>
  <c r="E28" i="9"/>
  <c r="D28" i="9"/>
  <c r="C28" i="9"/>
  <c r="D28" i="2" s="1"/>
  <c r="F28" i="2"/>
  <c r="N16" i="9"/>
  <c r="M16" i="9"/>
  <c r="L16" i="9"/>
  <c r="K16" i="9"/>
  <c r="J16" i="9"/>
  <c r="I16" i="9"/>
  <c r="H16" i="9"/>
  <c r="G16" i="9"/>
  <c r="F16" i="9"/>
  <c r="E16" i="9"/>
  <c r="D16" i="9"/>
  <c r="C16" i="9"/>
  <c r="D27" i="2" s="1"/>
  <c r="N8" i="9"/>
  <c r="M8" i="9"/>
  <c r="L8" i="9"/>
  <c r="K8" i="9"/>
  <c r="J8" i="9"/>
  <c r="I8" i="9"/>
  <c r="H8" i="9"/>
  <c r="G8" i="9"/>
  <c r="F8" i="9"/>
  <c r="E8" i="9"/>
  <c r="D8" i="9"/>
  <c r="N12" i="9"/>
  <c r="M12" i="9"/>
  <c r="L12" i="9"/>
  <c r="K12" i="9"/>
  <c r="J12" i="9"/>
  <c r="I12" i="9"/>
  <c r="H12" i="9"/>
  <c r="G12" i="9"/>
  <c r="F12" i="9"/>
  <c r="E12" i="9"/>
  <c r="D12" i="9"/>
  <c r="N9" i="9"/>
  <c r="M9" i="9"/>
  <c r="L9" i="9"/>
  <c r="K9" i="9"/>
  <c r="J9" i="9"/>
  <c r="I9" i="9"/>
  <c r="H9" i="9"/>
  <c r="G9" i="9"/>
  <c r="F9" i="9"/>
  <c r="E9" i="9"/>
  <c r="D9" i="9"/>
  <c r="C9" i="9"/>
  <c r="N4" i="9"/>
  <c r="M4" i="9"/>
  <c r="L4" i="9"/>
  <c r="K4" i="9"/>
  <c r="J4" i="9"/>
  <c r="I4" i="9"/>
  <c r="H4" i="9"/>
  <c r="G4" i="9"/>
  <c r="F4" i="9"/>
  <c r="E4" i="9"/>
  <c r="D4" i="9"/>
  <c r="F25" i="2" s="1"/>
  <c r="C4" i="9"/>
  <c r="D25" i="2" s="1"/>
  <c r="C3" i="9"/>
  <c r="D24" i="2" s="1"/>
  <c r="F16" i="2"/>
  <c r="D16" i="2"/>
  <c r="F39" i="2"/>
  <c r="G37" i="2"/>
  <c r="G11" i="2"/>
  <c r="D39" i="2"/>
  <c r="E37" i="2"/>
  <c r="E11" i="2"/>
  <c r="D3" i="9"/>
  <c r="F24" i="2" s="1"/>
  <c r="D17" i="9"/>
  <c r="C50" i="9"/>
  <c r="C13" i="9"/>
  <c r="O13" i="9" s="1"/>
  <c r="O12" i="9" s="1"/>
  <c r="O8" i="9" s="1"/>
  <c r="O48" i="9" s="1"/>
  <c r="C12" i="9" l="1"/>
  <c r="C8" i="9" s="1"/>
  <c r="C48" i="9" s="1"/>
  <c r="D17" i="2"/>
  <c r="E19" i="2" s="1"/>
  <c r="E21" i="2" s="1"/>
  <c r="F27" i="2"/>
  <c r="F26" i="2"/>
  <c r="F17" i="2"/>
  <c r="G19" i="2" s="1"/>
  <c r="G21" i="2" s="1"/>
  <c r="D26" i="2" l="1"/>
  <c r="B26" i="2" s="1"/>
  <c r="AI443" i="8"/>
  <c r="AH441" i="8"/>
  <c r="AH442" i="8" s="1"/>
  <c r="AH445" i="8" s="1"/>
  <c r="AG441" i="8"/>
  <c r="AF441" i="8"/>
  <c r="AF442" i="8" s="1"/>
  <c r="AF445" i="8" s="1"/>
  <c r="AE441" i="8"/>
  <c r="AE442" i="8" s="1"/>
  <c r="AE445" i="8" s="1"/>
  <c r="AD441" i="8"/>
  <c r="AC441" i="8"/>
  <c r="AC442" i="8" s="1"/>
  <c r="AC445" i="8" s="1"/>
  <c r="AB441" i="8"/>
  <c r="AB442" i="8" s="1"/>
  <c r="AB445" i="8" s="1"/>
  <c r="AA441" i="8"/>
  <c r="Z441" i="8"/>
  <c r="Z442" i="8" s="1"/>
  <c r="Z445" i="8" s="1"/>
  <c r="Y441" i="8"/>
  <c r="X441" i="8"/>
  <c r="X442" i="8" s="1"/>
  <c r="X445" i="8" s="1"/>
  <c r="W441" i="8"/>
  <c r="W442" i="8" s="1"/>
  <c r="W445" i="8" s="1"/>
  <c r="V441" i="8"/>
  <c r="U441" i="8"/>
  <c r="U442" i="8" s="1"/>
  <c r="U445" i="8" s="1"/>
  <c r="T441" i="8"/>
  <c r="T442" i="8" s="1"/>
  <c r="T445" i="8" s="1"/>
  <c r="S441" i="8"/>
  <c r="R441" i="8"/>
  <c r="R442" i="8" s="1"/>
  <c r="R445" i="8" s="1"/>
  <c r="Q441" i="8"/>
  <c r="P441" i="8"/>
  <c r="P442" i="8" s="1"/>
  <c r="P445" i="8" s="1"/>
  <c r="O441" i="8"/>
  <c r="O442" i="8" s="1"/>
  <c r="O445" i="8" s="1"/>
  <c r="N441" i="8"/>
  <c r="M441" i="8"/>
  <c r="M442" i="8" s="1"/>
  <c r="M445" i="8" s="1"/>
  <c r="L441" i="8"/>
  <c r="L442" i="8" s="1"/>
  <c r="L445" i="8" s="1"/>
  <c r="K441" i="8"/>
  <c r="J441" i="8"/>
  <c r="J442" i="8" s="1"/>
  <c r="J445" i="8" s="1"/>
  <c r="I441" i="8"/>
  <c r="H441" i="8"/>
  <c r="H442" i="8" s="1"/>
  <c r="H445" i="8" s="1"/>
  <c r="G441" i="8"/>
  <c r="G442" i="8" s="1"/>
  <c r="G445" i="8" s="1"/>
  <c r="F441" i="8"/>
  <c r="E441" i="8"/>
  <c r="E442" i="8" s="1"/>
  <c r="E445" i="8" s="1"/>
  <c r="D441" i="8"/>
  <c r="D442" i="8" s="1"/>
  <c r="D445" i="8" s="1"/>
  <c r="C441" i="8"/>
  <c r="AI440" i="8"/>
  <c r="AI439" i="8"/>
  <c r="AI438" i="8"/>
  <c r="AI437" i="8"/>
  <c r="AI436" i="8"/>
  <c r="AI435" i="8"/>
  <c r="AI434" i="8"/>
  <c r="AI433" i="8"/>
  <c r="AI432" i="8"/>
  <c r="AI431" i="8"/>
  <c r="AI430" i="8"/>
  <c r="AI429" i="8"/>
  <c r="AI428" i="8"/>
  <c r="AI427" i="8"/>
  <c r="AI426" i="8"/>
  <c r="AI425" i="8"/>
  <c r="AI424" i="8"/>
  <c r="AI423" i="8"/>
  <c r="AI422" i="8"/>
  <c r="AI421" i="8"/>
  <c r="AI420" i="8"/>
  <c r="AI419" i="8"/>
  <c r="AI418" i="8"/>
  <c r="AI417" i="8"/>
  <c r="AI416" i="8"/>
  <c r="AI415" i="8"/>
  <c r="AI414" i="8"/>
  <c r="AI413" i="8"/>
  <c r="AI441" i="8" s="1"/>
  <c r="AI412" i="8"/>
  <c r="AI411" i="8"/>
  <c r="AH410" i="8"/>
  <c r="AG410" i="8"/>
  <c r="AG442" i="8" s="1"/>
  <c r="AG445" i="8" s="1"/>
  <c r="AF410" i="8"/>
  <c r="AE410" i="8"/>
  <c r="AD410" i="8"/>
  <c r="AD442" i="8" s="1"/>
  <c r="AD445" i="8" s="1"/>
  <c r="AC410" i="8"/>
  <c r="AB410" i="8"/>
  <c r="AA410" i="8"/>
  <c r="AA442" i="8" s="1"/>
  <c r="AA445" i="8" s="1"/>
  <c r="Z410" i="8"/>
  <c r="Y410" i="8"/>
  <c r="Y442" i="8" s="1"/>
  <c r="Y445" i="8" s="1"/>
  <c r="X410" i="8"/>
  <c r="W410" i="8"/>
  <c r="V410" i="8"/>
  <c r="V442" i="8" s="1"/>
  <c r="V445" i="8" s="1"/>
  <c r="U410" i="8"/>
  <c r="T410" i="8"/>
  <c r="S410" i="8"/>
  <c r="S442" i="8" s="1"/>
  <c r="S445" i="8" s="1"/>
  <c r="R410" i="8"/>
  <c r="Q410" i="8"/>
  <c r="Q442" i="8" s="1"/>
  <c r="Q445" i="8" s="1"/>
  <c r="P410" i="8"/>
  <c r="O410" i="8"/>
  <c r="N410" i="8"/>
  <c r="N442" i="8" s="1"/>
  <c r="N445" i="8" s="1"/>
  <c r="M410" i="8"/>
  <c r="L410" i="8"/>
  <c r="K410" i="8"/>
  <c r="K442" i="8" s="1"/>
  <c r="K445" i="8" s="1"/>
  <c r="J410" i="8"/>
  <c r="I410" i="8"/>
  <c r="I442" i="8" s="1"/>
  <c r="I445" i="8" s="1"/>
  <c r="H410" i="8"/>
  <c r="G410" i="8"/>
  <c r="F410" i="8"/>
  <c r="F442" i="8" s="1"/>
  <c r="F445" i="8" s="1"/>
  <c r="E410" i="8"/>
  <c r="D410" i="8"/>
  <c r="C410" i="8"/>
  <c r="C442" i="8" s="1"/>
  <c r="C445" i="8" s="1"/>
  <c r="AI406" i="8"/>
  <c r="AH404" i="8"/>
  <c r="AH405" i="8" s="1"/>
  <c r="AH408" i="8" s="1"/>
  <c r="AG404" i="8"/>
  <c r="AF404" i="8"/>
  <c r="AE404" i="8"/>
  <c r="AD404" i="8"/>
  <c r="AC404" i="8"/>
  <c r="AB404" i="8"/>
  <c r="AB405" i="8" s="1"/>
  <c r="AB408" i="8" s="1"/>
  <c r="AA404" i="8"/>
  <c r="Z404" i="8"/>
  <c r="Z405" i="8" s="1"/>
  <c r="Z408" i="8" s="1"/>
  <c r="Y404" i="8"/>
  <c r="X404" i="8"/>
  <c r="W404" i="8"/>
  <c r="V404" i="8"/>
  <c r="U404" i="8"/>
  <c r="T404" i="8"/>
  <c r="T405" i="8" s="1"/>
  <c r="T408" i="8" s="1"/>
  <c r="S404" i="8"/>
  <c r="R404" i="8"/>
  <c r="R405" i="8" s="1"/>
  <c r="R408" i="8" s="1"/>
  <c r="Q404" i="8"/>
  <c r="P404" i="8"/>
  <c r="O404" i="8"/>
  <c r="N404" i="8"/>
  <c r="M404" i="8"/>
  <c r="L404" i="8"/>
  <c r="L405" i="8" s="1"/>
  <c r="L408" i="8" s="1"/>
  <c r="K404" i="8"/>
  <c r="J404" i="8"/>
  <c r="J405" i="8" s="1"/>
  <c r="J408" i="8" s="1"/>
  <c r="I404" i="8"/>
  <c r="H404" i="8"/>
  <c r="G404" i="8"/>
  <c r="F404" i="8"/>
  <c r="E404" i="8"/>
  <c r="D404" i="8"/>
  <c r="D405" i="8" s="1"/>
  <c r="D408" i="8" s="1"/>
  <c r="C404" i="8"/>
  <c r="AI403" i="8"/>
  <c r="AI402" i="8"/>
  <c r="AI401" i="8"/>
  <c r="AI400" i="8"/>
  <c r="AI399" i="8"/>
  <c r="AI398" i="8"/>
  <c r="AI397" i="8"/>
  <c r="AI396" i="8"/>
  <c r="AI395" i="8"/>
  <c r="AI394" i="8"/>
  <c r="AI393" i="8"/>
  <c r="AI392" i="8"/>
  <c r="AI391" i="8"/>
  <c r="AI390" i="8"/>
  <c r="AI389" i="8"/>
  <c r="AI388" i="8"/>
  <c r="AI387" i="8"/>
  <c r="AI386" i="8"/>
  <c r="AI385" i="8"/>
  <c r="AI384" i="8"/>
  <c r="AI383" i="8"/>
  <c r="AI382" i="8"/>
  <c r="AI381" i="8"/>
  <c r="AI380" i="8"/>
  <c r="AI379" i="8"/>
  <c r="AI378" i="8"/>
  <c r="AI377" i="8"/>
  <c r="AI376" i="8"/>
  <c r="AI375" i="8"/>
  <c r="AI374" i="8"/>
  <c r="AH373" i="8"/>
  <c r="AG373" i="8"/>
  <c r="AF373" i="8"/>
  <c r="AE373" i="8"/>
  <c r="AD373" i="8"/>
  <c r="AC373" i="8"/>
  <c r="AB373" i="8"/>
  <c r="AA373" i="8"/>
  <c r="Z373" i="8"/>
  <c r="Y373" i="8"/>
  <c r="X373" i="8"/>
  <c r="W373" i="8"/>
  <c r="V373" i="8"/>
  <c r="U373" i="8"/>
  <c r="T373" i="8"/>
  <c r="S373" i="8"/>
  <c r="R373" i="8"/>
  <c r="Q373" i="8"/>
  <c r="P373" i="8"/>
  <c r="O373" i="8"/>
  <c r="N373" i="8"/>
  <c r="M373" i="8"/>
  <c r="L373" i="8"/>
  <c r="K373" i="8"/>
  <c r="J373" i="8"/>
  <c r="I373" i="8"/>
  <c r="H373" i="8"/>
  <c r="G373" i="8"/>
  <c r="F373" i="8"/>
  <c r="E373" i="8"/>
  <c r="D373" i="8"/>
  <c r="C373" i="8"/>
  <c r="AI369" i="8"/>
  <c r="AH367" i="8"/>
  <c r="AG367" i="8"/>
  <c r="AF367" i="8"/>
  <c r="AE367" i="8"/>
  <c r="AD367" i="8"/>
  <c r="AC367" i="8"/>
  <c r="AB367" i="8"/>
  <c r="AA367" i="8"/>
  <c r="Z367" i="8"/>
  <c r="Y367" i="8"/>
  <c r="X367" i="8"/>
  <c r="W367" i="8"/>
  <c r="V367" i="8"/>
  <c r="U367" i="8"/>
  <c r="T367" i="8"/>
  <c r="S367" i="8"/>
  <c r="R367" i="8"/>
  <c r="Q367" i="8"/>
  <c r="P367" i="8"/>
  <c r="O367" i="8"/>
  <c r="N367" i="8"/>
  <c r="M367" i="8"/>
  <c r="L367" i="8"/>
  <c r="K367" i="8"/>
  <c r="J367" i="8"/>
  <c r="I367" i="8"/>
  <c r="H367" i="8"/>
  <c r="G367" i="8"/>
  <c r="F367" i="8"/>
  <c r="E367" i="8"/>
  <c r="D367" i="8"/>
  <c r="C367" i="8"/>
  <c r="AI366" i="8"/>
  <c r="AI365" i="8"/>
  <c r="AI364" i="8"/>
  <c r="AI363" i="8"/>
  <c r="AI362" i="8"/>
  <c r="AI361" i="8"/>
  <c r="AI360" i="8"/>
  <c r="AI359" i="8"/>
  <c r="AI358" i="8"/>
  <c r="AI357" i="8"/>
  <c r="AI356" i="8"/>
  <c r="AI355" i="8"/>
  <c r="AI354" i="8"/>
  <c r="AI353" i="8"/>
  <c r="AI352" i="8"/>
  <c r="AI351" i="8"/>
  <c r="AI350" i="8"/>
  <c r="AI349" i="8"/>
  <c r="AI348" i="8"/>
  <c r="AI347" i="8"/>
  <c r="AI346" i="8"/>
  <c r="AI345" i="8"/>
  <c r="AI344" i="8"/>
  <c r="AI343" i="8"/>
  <c r="AI342" i="8"/>
  <c r="AI341" i="8"/>
  <c r="AI340" i="8"/>
  <c r="AI339" i="8"/>
  <c r="AI338" i="8"/>
  <c r="AI337" i="8"/>
  <c r="AH336" i="8"/>
  <c r="AG336" i="8"/>
  <c r="AF336" i="8"/>
  <c r="AE336" i="8"/>
  <c r="AE368" i="8" s="1"/>
  <c r="AE371" i="8" s="1"/>
  <c r="AD336" i="8"/>
  <c r="AC336" i="8"/>
  <c r="AB336" i="8"/>
  <c r="AA336" i="8"/>
  <c r="Z336" i="8"/>
  <c r="Y336" i="8"/>
  <c r="X336" i="8"/>
  <c r="W336" i="8"/>
  <c r="W368" i="8" s="1"/>
  <c r="W371" i="8" s="1"/>
  <c r="V336" i="8"/>
  <c r="U336" i="8"/>
  <c r="T336" i="8"/>
  <c r="S336" i="8"/>
  <c r="R336" i="8"/>
  <c r="Q336" i="8"/>
  <c r="P336" i="8"/>
  <c r="O336" i="8"/>
  <c r="O368" i="8" s="1"/>
  <c r="O371" i="8" s="1"/>
  <c r="N336" i="8"/>
  <c r="M336" i="8"/>
  <c r="L336" i="8"/>
  <c r="K336" i="8"/>
  <c r="J336" i="8"/>
  <c r="I336" i="8"/>
  <c r="H336" i="8"/>
  <c r="G336" i="8"/>
  <c r="G368" i="8" s="1"/>
  <c r="G371" i="8" s="1"/>
  <c r="F336" i="8"/>
  <c r="E336" i="8"/>
  <c r="D336" i="8"/>
  <c r="C336" i="8"/>
  <c r="AI332" i="8"/>
  <c r="AH330" i="8"/>
  <c r="AG330" i="8"/>
  <c r="AF330" i="8"/>
  <c r="AE330" i="8"/>
  <c r="AD330" i="8"/>
  <c r="AC330" i="8"/>
  <c r="AB330" i="8"/>
  <c r="AA330" i="8"/>
  <c r="Z330" i="8"/>
  <c r="Y330" i="8"/>
  <c r="X330" i="8"/>
  <c r="W330" i="8"/>
  <c r="V330" i="8"/>
  <c r="U330" i="8"/>
  <c r="T330" i="8"/>
  <c r="S330" i="8"/>
  <c r="R330" i="8"/>
  <c r="Q330" i="8"/>
  <c r="P330" i="8"/>
  <c r="O330" i="8"/>
  <c r="N330" i="8"/>
  <c r="M330" i="8"/>
  <c r="L330" i="8"/>
  <c r="K330" i="8"/>
  <c r="J330" i="8"/>
  <c r="I330" i="8"/>
  <c r="H330" i="8"/>
  <c r="G330" i="8"/>
  <c r="F330" i="8"/>
  <c r="E330" i="8"/>
  <c r="D330" i="8"/>
  <c r="C330" i="8"/>
  <c r="AI329" i="8"/>
  <c r="AI328" i="8"/>
  <c r="AI327" i="8"/>
  <c r="AI326" i="8"/>
  <c r="AI325" i="8"/>
  <c r="AI324" i="8"/>
  <c r="AI323" i="8"/>
  <c r="AI322" i="8"/>
  <c r="AI321" i="8"/>
  <c r="AI320" i="8"/>
  <c r="AI319" i="8"/>
  <c r="AI318" i="8"/>
  <c r="AI317" i="8"/>
  <c r="AI316" i="8"/>
  <c r="AI315" i="8"/>
  <c r="AI314" i="8"/>
  <c r="AI313" i="8"/>
  <c r="AI312" i="8"/>
  <c r="AI311" i="8"/>
  <c r="AI310" i="8"/>
  <c r="AI309" i="8"/>
  <c r="AI308" i="8"/>
  <c r="AI307" i="8"/>
  <c r="AI306" i="8"/>
  <c r="AI305" i="8"/>
  <c r="AI304" i="8"/>
  <c r="AI303" i="8"/>
  <c r="AI302" i="8"/>
  <c r="AI301" i="8"/>
  <c r="AI300" i="8"/>
  <c r="AH299" i="8"/>
  <c r="AG299" i="8"/>
  <c r="AF299" i="8"/>
  <c r="AE299" i="8"/>
  <c r="AD299" i="8"/>
  <c r="AD331" i="8" s="1"/>
  <c r="AD334" i="8" s="1"/>
  <c r="AC299" i="8"/>
  <c r="AB299" i="8"/>
  <c r="AA299" i="8"/>
  <c r="Z299" i="8"/>
  <c r="Y299" i="8"/>
  <c r="X299" i="8"/>
  <c r="W299" i="8"/>
  <c r="V299" i="8"/>
  <c r="V331" i="8" s="1"/>
  <c r="V334" i="8" s="1"/>
  <c r="U299" i="8"/>
  <c r="T299" i="8"/>
  <c r="S299" i="8"/>
  <c r="R299" i="8"/>
  <c r="Q299" i="8"/>
  <c r="P299" i="8"/>
  <c r="O299" i="8"/>
  <c r="N299" i="8"/>
  <c r="N331" i="8" s="1"/>
  <c r="N334" i="8" s="1"/>
  <c r="M299" i="8"/>
  <c r="L299" i="8"/>
  <c r="K299" i="8"/>
  <c r="J299" i="8"/>
  <c r="I299" i="8"/>
  <c r="H299" i="8"/>
  <c r="G299" i="8"/>
  <c r="F299" i="8"/>
  <c r="F331" i="8" s="1"/>
  <c r="F334" i="8" s="1"/>
  <c r="E299" i="8"/>
  <c r="D299" i="8"/>
  <c r="C299" i="8"/>
  <c r="AI295" i="8"/>
  <c r="AH293" i="8"/>
  <c r="AG293" i="8"/>
  <c r="AF293" i="8"/>
  <c r="AE293" i="8"/>
  <c r="AD293" i="8"/>
  <c r="AC293" i="8"/>
  <c r="AB293" i="8"/>
  <c r="AA293" i="8"/>
  <c r="Z293" i="8"/>
  <c r="Y293" i="8"/>
  <c r="X293" i="8"/>
  <c r="W293" i="8"/>
  <c r="V293" i="8"/>
  <c r="U293" i="8"/>
  <c r="T293" i="8"/>
  <c r="S293" i="8"/>
  <c r="R293" i="8"/>
  <c r="Q293" i="8"/>
  <c r="P293" i="8"/>
  <c r="O293" i="8"/>
  <c r="N293" i="8"/>
  <c r="M293" i="8"/>
  <c r="L293" i="8"/>
  <c r="K293" i="8"/>
  <c r="J293" i="8"/>
  <c r="I293" i="8"/>
  <c r="H293" i="8"/>
  <c r="G293" i="8"/>
  <c r="G294" i="8" s="1"/>
  <c r="G297" i="8" s="1"/>
  <c r="F293" i="8"/>
  <c r="E293" i="8"/>
  <c r="D293" i="8"/>
  <c r="C293" i="8"/>
  <c r="AI292" i="8"/>
  <c r="AI291" i="8"/>
  <c r="AI290" i="8"/>
  <c r="AI289" i="8"/>
  <c r="AI288" i="8"/>
  <c r="AI287" i="8"/>
  <c r="AI286" i="8"/>
  <c r="AI285" i="8"/>
  <c r="AI284" i="8"/>
  <c r="AI283" i="8"/>
  <c r="AI282" i="8"/>
  <c r="AI281" i="8"/>
  <c r="AI280" i="8"/>
  <c r="AI279" i="8"/>
  <c r="AI278" i="8"/>
  <c r="AI277" i="8"/>
  <c r="AI276" i="8"/>
  <c r="AI275" i="8"/>
  <c r="AI274" i="8"/>
  <c r="AI273" i="8"/>
  <c r="AI272" i="8"/>
  <c r="AI271" i="8"/>
  <c r="AI270" i="8"/>
  <c r="AI269" i="8"/>
  <c r="AI268" i="8"/>
  <c r="AI267" i="8"/>
  <c r="AI266" i="8"/>
  <c r="AI265" i="8"/>
  <c r="AI264" i="8"/>
  <c r="AI263" i="8"/>
  <c r="AH262" i="8"/>
  <c r="AG262" i="8"/>
  <c r="AF262" i="8"/>
  <c r="AE262" i="8"/>
  <c r="AD262" i="8"/>
  <c r="AC262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K262" i="8"/>
  <c r="J262" i="8"/>
  <c r="I262" i="8"/>
  <c r="H262" i="8"/>
  <c r="G262" i="8"/>
  <c r="F262" i="8"/>
  <c r="E262" i="8"/>
  <c r="D262" i="8"/>
  <c r="C262" i="8"/>
  <c r="AI258" i="8"/>
  <c r="AH256" i="8"/>
  <c r="AG256" i="8"/>
  <c r="AF256" i="8"/>
  <c r="AE256" i="8"/>
  <c r="AD256" i="8"/>
  <c r="AC256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O256" i="8"/>
  <c r="N256" i="8"/>
  <c r="M256" i="8"/>
  <c r="L256" i="8"/>
  <c r="K256" i="8"/>
  <c r="J256" i="8"/>
  <c r="I256" i="8"/>
  <c r="H256" i="8"/>
  <c r="G256" i="8"/>
  <c r="F256" i="8"/>
  <c r="E256" i="8"/>
  <c r="D256" i="8"/>
  <c r="C256" i="8"/>
  <c r="AI255" i="8"/>
  <c r="AI254" i="8"/>
  <c r="AI253" i="8"/>
  <c r="AI252" i="8"/>
  <c r="AI251" i="8"/>
  <c r="AI250" i="8"/>
  <c r="AI249" i="8"/>
  <c r="AI248" i="8"/>
  <c r="AI247" i="8"/>
  <c r="AI246" i="8"/>
  <c r="AI245" i="8"/>
  <c r="AI244" i="8"/>
  <c r="AI243" i="8"/>
  <c r="AI242" i="8"/>
  <c r="AI241" i="8"/>
  <c r="AI240" i="8"/>
  <c r="AI239" i="8"/>
  <c r="AI238" i="8"/>
  <c r="AI237" i="8"/>
  <c r="AI236" i="8"/>
  <c r="AI235" i="8"/>
  <c r="AI234" i="8"/>
  <c r="AI233" i="8"/>
  <c r="AI232" i="8"/>
  <c r="AI231" i="8"/>
  <c r="AI230" i="8"/>
  <c r="AI229" i="8"/>
  <c r="AI228" i="8"/>
  <c r="AI227" i="8"/>
  <c r="AI226" i="8"/>
  <c r="AH225" i="8"/>
  <c r="AG225" i="8"/>
  <c r="AF225" i="8"/>
  <c r="AE225" i="8"/>
  <c r="AE257" i="8" s="1"/>
  <c r="AE260" i="8" s="1"/>
  <c r="AD225" i="8"/>
  <c r="AC225" i="8"/>
  <c r="AB225" i="8"/>
  <c r="AA225" i="8"/>
  <c r="Z225" i="8"/>
  <c r="Y225" i="8"/>
  <c r="X225" i="8"/>
  <c r="W225" i="8"/>
  <c r="W257" i="8" s="1"/>
  <c r="W260" i="8" s="1"/>
  <c r="V225" i="8"/>
  <c r="U225" i="8"/>
  <c r="T225" i="8"/>
  <c r="S225" i="8"/>
  <c r="R225" i="8"/>
  <c r="Q225" i="8"/>
  <c r="P225" i="8"/>
  <c r="O225" i="8"/>
  <c r="N225" i="8"/>
  <c r="M225" i="8"/>
  <c r="L225" i="8"/>
  <c r="K225" i="8"/>
  <c r="J225" i="8"/>
  <c r="I225" i="8"/>
  <c r="H225" i="8"/>
  <c r="G225" i="8"/>
  <c r="G257" i="8" s="1"/>
  <c r="G260" i="8" s="1"/>
  <c r="F225" i="8"/>
  <c r="E225" i="8"/>
  <c r="D225" i="8"/>
  <c r="C225" i="8"/>
  <c r="AI221" i="8"/>
  <c r="AH219" i="8"/>
  <c r="AG219" i="8"/>
  <c r="AF219" i="8"/>
  <c r="AE219" i="8"/>
  <c r="AD219" i="8"/>
  <c r="AC219" i="8"/>
  <c r="AB219" i="8"/>
  <c r="AA219" i="8"/>
  <c r="Z219" i="8"/>
  <c r="Y219" i="8"/>
  <c r="X219" i="8"/>
  <c r="W219" i="8"/>
  <c r="V219" i="8"/>
  <c r="U219" i="8"/>
  <c r="T219" i="8"/>
  <c r="S219" i="8"/>
  <c r="R219" i="8"/>
  <c r="Q219" i="8"/>
  <c r="P219" i="8"/>
  <c r="O219" i="8"/>
  <c r="N219" i="8"/>
  <c r="M219" i="8"/>
  <c r="L219" i="8"/>
  <c r="K219" i="8"/>
  <c r="J219" i="8"/>
  <c r="I219" i="8"/>
  <c r="H219" i="8"/>
  <c r="G219" i="8"/>
  <c r="F219" i="8"/>
  <c r="E219" i="8"/>
  <c r="D219" i="8"/>
  <c r="C219" i="8"/>
  <c r="AI218" i="8"/>
  <c r="AI217" i="8"/>
  <c r="AI216" i="8"/>
  <c r="AI215" i="8"/>
  <c r="AI214" i="8"/>
  <c r="AI213" i="8"/>
  <c r="AI212" i="8"/>
  <c r="AI211" i="8"/>
  <c r="AI210" i="8"/>
  <c r="AI209" i="8"/>
  <c r="AI208" i="8"/>
  <c r="AI207" i="8"/>
  <c r="AI206" i="8"/>
  <c r="AI205" i="8"/>
  <c r="AI204" i="8"/>
  <c r="AI203" i="8"/>
  <c r="AI202" i="8"/>
  <c r="AI201" i="8"/>
  <c r="AI200" i="8"/>
  <c r="AI199" i="8"/>
  <c r="AI198" i="8"/>
  <c r="AI197" i="8"/>
  <c r="AI196" i="8"/>
  <c r="AI195" i="8"/>
  <c r="AI194" i="8"/>
  <c r="AI193" i="8"/>
  <c r="AI192" i="8"/>
  <c r="AI191" i="8"/>
  <c r="AI190" i="8"/>
  <c r="AI189" i="8"/>
  <c r="AH188" i="8"/>
  <c r="AG188" i="8"/>
  <c r="AF188" i="8"/>
  <c r="AE188" i="8"/>
  <c r="AD188" i="8"/>
  <c r="AD220" i="8" s="1"/>
  <c r="AD223" i="8" s="1"/>
  <c r="AC188" i="8"/>
  <c r="AB188" i="8"/>
  <c r="AA188" i="8"/>
  <c r="Z188" i="8"/>
  <c r="Y188" i="8"/>
  <c r="X188" i="8"/>
  <c r="W188" i="8"/>
  <c r="V188" i="8"/>
  <c r="V220" i="8" s="1"/>
  <c r="V223" i="8" s="1"/>
  <c r="U188" i="8"/>
  <c r="T188" i="8"/>
  <c r="S188" i="8"/>
  <c r="R188" i="8"/>
  <c r="Q188" i="8"/>
  <c r="P188" i="8"/>
  <c r="O188" i="8"/>
  <c r="N188" i="8"/>
  <c r="N220" i="8" s="1"/>
  <c r="N223" i="8" s="1"/>
  <c r="M188" i="8"/>
  <c r="L188" i="8"/>
  <c r="K188" i="8"/>
  <c r="J188" i="8"/>
  <c r="I188" i="8"/>
  <c r="H188" i="8"/>
  <c r="G188" i="8"/>
  <c r="F188" i="8"/>
  <c r="F220" i="8" s="1"/>
  <c r="F223" i="8" s="1"/>
  <c r="E188" i="8"/>
  <c r="D188" i="8"/>
  <c r="C188" i="8"/>
  <c r="AI184" i="8"/>
  <c r="AH182" i="8"/>
  <c r="AG182" i="8"/>
  <c r="AF182" i="8"/>
  <c r="AE182" i="8"/>
  <c r="AD182" i="8"/>
  <c r="AC182" i="8"/>
  <c r="AB182" i="8"/>
  <c r="AA182" i="8"/>
  <c r="Z182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AI181" i="8"/>
  <c r="AI180" i="8"/>
  <c r="AI179" i="8"/>
  <c r="AI178" i="8"/>
  <c r="AI177" i="8"/>
  <c r="AI176" i="8"/>
  <c r="AI175" i="8"/>
  <c r="AI174" i="8"/>
  <c r="AI173" i="8"/>
  <c r="AI172" i="8"/>
  <c r="AI171" i="8"/>
  <c r="AI170" i="8"/>
  <c r="AI169" i="8"/>
  <c r="AI168" i="8"/>
  <c r="AI167" i="8"/>
  <c r="AI166" i="8"/>
  <c r="AI165" i="8"/>
  <c r="AI164" i="8"/>
  <c r="AI163" i="8"/>
  <c r="AI162" i="8"/>
  <c r="AI161" i="8"/>
  <c r="AI160" i="8"/>
  <c r="AI159" i="8"/>
  <c r="AI158" i="8"/>
  <c r="AI157" i="8"/>
  <c r="AI156" i="8"/>
  <c r="AI155" i="8"/>
  <c r="AI154" i="8"/>
  <c r="AI153" i="8"/>
  <c r="AI152" i="8"/>
  <c r="AH151" i="8"/>
  <c r="AG151" i="8"/>
  <c r="AF151" i="8"/>
  <c r="AE151" i="8"/>
  <c r="AD151" i="8"/>
  <c r="AC151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AI147" i="8"/>
  <c r="AH145" i="8"/>
  <c r="AG145" i="8"/>
  <c r="AF145" i="8"/>
  <c r="AE145" i="8"/>
  <c r="AD145" i="8"/>
  <c r="AC145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AI144" i="8"/>
  <c r="AI143" i="8"/>
  <c r="AI142" i="8"/>
  <c r="AI141" i="8"/>
  <c r="AI140" i="8"/>
  <c r="AI139" i="8"/>
  <c r="AI138" i="8"/>
  <c r="AI137" i="8"/>
  <c r="AI136" i="8"/>
  <c r="AI135" i="8"/>
  <c r="AI134" i="8"/>
  <c r="AI133" i="8"/>
  <c r="AI132" i="8"/>
  <c r="AI131" i="8"/>
  <c r="AI130" i="8"/>
  <c r="AI129" i="8"/>
  <c r="AI128" i="8"/>
  <c r="AI127" i="8"/>
  <c r="AI126" i="8"/>
  <c r="AI125" i="8"/>
  <c r="AI124" i="8"/>
  <c r="AI123" i="8"/>
  <c r="AI122" i="8"/>
  <c r="AI121" i="8"/>
  <c r="AI120" i="8"/>
  <c r="AI119" i="8"/>
  <c r="AI118" i="8"/>
  <c r="AI117" i="8"/>
  <c r="AI116" i="8"/>
  <c r="AI115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AI110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AI107" i="8"/>
  <c r="AI106" i="8"/>
  <c r="AI105" i="8"/>
  <c r="AI104" i="8"/>
  <c r="AI103" i="8"/>
  <c r="AI102" i="8"/>
  <c r="AI101" i="8"/>
  <c r="AI100" i="8"/>
  <c r="AI99" i="8"/>
  <c r="AI98" i="8"/>
  <c r="AI97" i="8"/>
  <c r="AI96" i="8"/>
  <c r="AI95" i="8"/>
  <c r="AI94" i="8"/>
  <c r="AI93" i="8"/>
  <c r="AI92" i="8"/>
  <c r="AI91" i="8"/>
  <c r="AI90" i="8"/>
  <c r="AI89" i="8"/>
  <c r="AI88" i="8"/>
  <c r="AI87" i="8"/>
  <c r="AI86" i="8"/>
  <c r="AI85" i="8"/>
  <c r="AI84" i="8"/>
  <c r="AI83" i="8"/>
  <c r="AI82" i="8"/>
  <c r="AI81" i="8"/>
  <c r="AI80" i="8"/>
  <c r="AI79" i="8"/>
  <c r="AI78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I73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I45" i="8"/>
  <c r="AI44" i="8"/>
  <c r="AI43" i="8"/>
  <c r="AI42" i="8"/>
  <c r="AI41" i="8"/>
  <c r="AI36" i="8"/>
  <c r="AI3" i="8"/>
  <c r="AI33" i="8"/>
  <c r="AI32" i="8"/>
  <c r="AI31" i="8"/>
  <c r="AI30" i="8"/>
  <c r="AI29" i="8"/>
  <c r="AI28" i="8"/>
  <c r="AI27" i="8"/>
  <c r="AI26" i="8"/>
  <c r="AI25" i="8"/>
  <c r="AI24" i="8"/>
  <c r="AI23" i="8"/>
  <c r="AI22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AI6" i="8"/>
  <c r="AI5" i="8"/>
  <c r="AH34" i="8"/>
  <c r="AH35" i="8" s="1"/>
  <c r="AH38" i="8" s="1"/>
  <c r="AG34" i="8"/>
  <c r="AG35" i="8" s="1"/>
  <c r="AG38" i="8" s="1"/>
  <c r="AF34" i="8"/>
  <c r="AF35" i="8" s="1"/>
  <c r="AF38" i="8" s="1"/>
  <c r="AE34" i="8"/>
  <c r="AE35" i="8" s="1"/>
  <c r="AE38" i="8" s="1"/>
  <c r="AD34" i="8"/>
  <c r="AD35" i="8" s="1"/>
  <c r="AD38" i="8" s="1"/>
  <c r="AC34" i="8"/>
  <c r="AC35" i="8" s="1"/>
  <c r="AC38" i="8" s="1"/>
  <c r="AB34" i="8"/>
  <c r="AB35" i="8" s="1"/>
  <c r="AB38" i="8" s="1"/>
  <c r="AA34" i="8"/>
  <c r="AA35" i="8" s="1"/>
  <c r="AA38" i="8" s="1"/>
  <c r="Z34" i="8"/>
  <c r="Z35" i="8" s="1"/>
  <c r="Z38" i="8" s="1"/>
  <c r="Y34" i="8"/>
  <c r="Y35" i="8" s="1"/>
  <c r="Y38" i="8" s="1"/>
  <c r="X34" i="8"/>
  <c r="X35" i="8" s="1"/>
  <c r="X38" i="8" s="1"/>
  <c r="W34" i="8"/>
  <c r="W35" i="8" s="1"/>
  <c r="W38" i="8" s="1"/>
  <c r="V34" i="8"/>
  <c r="V35" i="8" s="1"/>
  <c r="V38" i="8" s="1"/>
  <c r="U34" i="8"/>
  <c r="U35" i="8" s="1"/>
  <c r="U38" i="8" s="1"/>
  <c r="T34" i="8"/>
  <c r="T35" i="8" s="1"/>
  <c r="T38" i="8" s="1"/>
  <c r="S34" i="8"/>
  <c r="S35" i="8" s="1"/>
  <c r="S38" i="8" s="1"/>
  <c r="R34" i="8"/>
  <c r="R35" i="8" s="1"/>
  <c r="R38" i="8" s="1"/>
  <c r="Q34" i="8"/>
  <c r="Q35" i="8" s="1"/>
  <c r="Q38" i="8" s="1"/>
  <c r="P34" i="8"/>
  <c r="P35" i="8" s="1"/>
  <c r="P38" i="8" s="1"/>
  <c r="O34" i="8"/>
  <c r="O35" i="8" s="1"/>
  <c r="O38" i="8" s="1"/>
  <c r="N34" i="8"/>
  <c r="N35" i="8" s="1"/>
  <c r="N38" i="8" s="1"/>
  <c r="M34" i="8"/>
  <c r="M35" i="8" s="1"/>
  <c r="M38" i="8" s="1"/>
  <c r="L34" i="8"/>
  <c r="L35" i="8" s="1"/>
  <c r="L38" i="8" s="1"/>
  <c r="K34" i="8"/>
  <c r="K35" i="8" s="1"/>
  <c r="K38" i="8" s="1"/>
  <c r="J34" i="8"/>
  <c r="J35" i="8" s="1"/>
  <c r="J38" i="8" s="1"/>
  <c r="I34" i="8"/>
  <c r="I35" i="8" s="1"/>
  <c r="I38" i="8" s="1"/>
  <c r="H34" i="8"/>
  <c r="H35" i="8" s="1"/>
  <c r="H38" i="8" s="1"/>
  <c r="G34" i="8"/>
  <c r="G35" i="8" s="1"/>
  <c r="G38" i="8" s="1"/>
  <c r="F34" i="8"/>
  <c r="F35" i="8" s="1"/>
  <c r="F38" i="8" s="1"/>
  <c r="E34" i="8"/>
  <c r="E35" i="8" s="1"/>
  <c r="E38" i="8" s="1"/>
  <c r="D34" i="8"/>
  <c r="D35" i="8" s="1"/>
  <c r="D38" i="8" s="1"/>
  <c r="C34" i="8"/>
  <c r="C35" i="8" s="1"/>
  <c r="C38" i="8" s="1"/>
  <c r="AI4" i="8"/>
  <c r="C37" i="2"/>
  <c r="H405" i="8" l="1"/>
  <c r="H408" i="8" s="1"/>
  <c r="P405" i="8"/>
  <c r="P408" i="8" s="1"/>
  <c r="X405" i="8"/>
  <c r="X408" i="8" s="1"/>
  <c r="AF405" i="8"/>
  <c r="AF408" i="8" s="1"/>
  <c r="G331" i="8"/>
  <c r="G334" i="8" s="1"/>
  <c r="O331" i="8"/>
  <c r="O334" i="8" s="1"/>
  <c r="W331" i="8"/>
  <c r="W334" i="8" s="1"/>
  <c r="AE331" i="8"/>
  <c r="AE334" i="8" s="1"/>
  <c r="H368" i="8"/>
  <c r="H371" i="8" s="1"/>
  <c r="P368" i="8"/>
  <c r="P371" i="8" s="1"/>
  <c r="X368" i="8"/>
  <c r="X371" i="8" s="1"/>
  <c r="AF368" i="8"/>
  <c r="AF371" i="8" s="1"/>
  <c r="G405" i="8"/>
  <c r="G408" i="8" s="1"/>
  <c r="O405" i="8"/>
  <c r="O408" i="8" s="1"/>
  <c r="W405" i="8"/>
  <c r="W408" i="8" s="1"/>
  <c r="AE405" i="8"/>
  <c r="AE408" i="8" s="1"/>
  <c r="I405" i="8"/>
  <c r="I408" i="8" s="1"/>
  <c r="Q405" i="8"/>
  <c r="Q408" i="8" s="1"/>
  <c r="Y405" i="8"/>
  <c r="Y408" i="8" s="1"/>
  <c r="AG405" i="8"/>
  <c r="AG408" i="8" s="1"/>
  <c r="AI410" i="8"/>
  <c r="AI442" i="8" s="1"/>
  <c r="AI445" i="8" s="1"/>
  <c r="H220" i="8"/>
  <c r="H223" i="8" s="1"/>
  <c r="P220" i="8"/>
  <c r="P223" i="8" s="1"/>
  <c r="X220" i="8"/>
  <c r="X223" i="8" s="1"/>
  <c r="AF220" i="8"/>
  <c r="AF223" i="8" s="1"/>
  <c r="J294" i="8"/>
  <c r="J297" i="8" s="1"/>
  <c r="R294" i="8"/>
  <c r="R297" i="8" s="1"/>
  <c r="Z294" i="8"/>
  <c r="Z297" i="8" s="1"/>
  <c r="AH294" i="8"/>
  <c r="AH297" i="8" s="1"/>
  <c r="C331" i="8"/>
  <c r="C334" i="8" s="1"/>
  <c r="K331" i="8"/>
  <c r="K334" i="8" s="1"/>
  <c r="S331" i="8"/>
  <c r="S334" i="8" s="1"/>
  <c r="AA331" i="8"/>
  <c r="AA334" i="8" s="1"/>
  <c r="D368" i="8"/>
  <c r="D371" i="8" s="1"/>
  <c r="L368" i="8"/>
  <c r="L371" i="8" s="1"/>
  <c r="T368" i="8"/>
  <c r="T371" i="8" s="1"/>
  <c r="AB368" i="8"/>
  <c r="AB371" i="8" s="1"/>
  <c r="C405" i="8"/>
  <c r="C408" i="8" s="1"/>
  <c r="K405" i="8"/>
  <c r="K408" i="8" s="1"/>
  <c r="S405" i="8"/>
  <c r="S408" i="8" s="1"/>
  <c r="AA405" i="8"/>
  <c r="AA408" i="8" s="1"/>
  <c r="AI404" i="8"/>
  <c r="E405" i="8"/>
  <c r="E408" i="8" s="1"/>
  <c r="M405" i="8"/>
  <c r="M408" i="8" s="1"/>
  <c r="U405" i="8"/>
  <c r="U408" i="8" s="1"/>
  <c r="AC405" i="8"/>
  <c r="AC408" i="8" s="1"/>
  <c r="J331" i="8"/>
  <c r="J334" i="8" s="1"/>
  <c r="R331" i="8"/>
  <c r="R334" i="8" s="1"/>
  <c r="Z331" i="8"/>
  <c r="Z334" i="8" s="1"/>
  <c r="AH331" i="8"/>
  <c r="AH334" i="8" s="1"/>
  <c r="C368" i="8"/>
  <c r="C371" i="8" s="1"/>
  <c r="K368" i="8"/>
  <c r="K371" i="8" s="1"/>
  <c r="S368" i="8"/>
  <c r="S371" i="8" s="1"/>
  <c r="AA368" i="8"/>
  <c r="AA371" i="8" s="1"/>
  <c r="F405" i="8"/>
  <c r="F408" i="8" s="1"/>
  <c r="N405" i="8"/>
  <c r="N408" i="8" s="1"/>
  <c r="V405" i="8"/>
  <c r="V408" i="8" s="1"/>
  <c r="AD405" i="8"/>
  <c r="AD408" i="8" s="1"/>
  <c r="C294" i="8"/>
  <c r="C297" i="8" s="1"/>
  <c r="K294" i="8"/>
  <c r="K297" i="8" s="1"/>
  <c r="S294" i="8"/>
  <c r="S297" i="8" s="1"/>
  <c r="AA294" i="8"/>
  <c r="AA297" i="8" s="1"/>
  <c r="D331" i="8"/>
  <c r="D334" i="8" s="1"/>
  <c r="L331" i="8"/>
  <c r="L334" i="8" s="1"/>
  <c r="T331" i="8"/>
  <c r="T334" i="8" s="1"/>
  <c r="AB331" i="8"/>
  <c r="AB334" i="8" s="1"/>
  <c r="E368" i="8"/>
  <c r="E371" i="8" s="1"/>
  <c r="M368" i="8"/>
  <c r="M371" i="8" s="1"/>
  <c r="U368" i="8"/>
  <c r="U371" i="8" s="1"/>
  <c r="AC368" i="8"/>
  <c r="AC371" i="8" s="1"/>
  <c r="J368" i="8"/>
  <c r="J371" i="8" s="1"/>
  <c r="R368" i="8"/>
  <c r="R371" i="8" s="1"/>
  <c r="Z368" i="8"/>
  <c r="Z371" i="8" s="1"/>
  <c r="AH368" i="8"/>
  <c r="AH371" i="8" s="1"/>
  <c r="I368" i="8"/>
  <c r="I371" i="8" s="1"/>
  <c r="Q368" i="8"/>
  <c r="Q371" i="8" s="1"/>
  <c r="Y368" i="8"/>
  <c r="Y371" i="8" s="1"/>
  <c r="AG368" i="8"/>
  <c r="AG371" i="8" s="1"/>
  <c r="AI373" i="8"/>
  <c r="AI405" i="8" s="1"/>
  <c r="AI408" i="8" s="1"/>
  <c r="AI367" i="8"/>
  <c r="F368" i="8"/>
  <c r="F371" i="8" s="1"/>
  <c r="N368" i="8"/>
  <c r="N371" i="8" s="1"/>
  <c r="V368" i="8"/>
  <c r="V371" i="8" s="1"/>
  <c r="AD368" i="8"/>
  <c r="AD371" i="8" s="1"/>
  <c r="H294" i="8"/>
  <c r="H297" i="8" s="1"/>
  <c r="P294" i="8"/>
  <c r="P297" i="8" s="1"/>
  <c r="X294" i="8"/>
  <c r="X297" i="8" s="1"/>
  <c r="AF294" i="8"/>
  <c r="AF297" i="8" s="1"/>
  <c r="I331" i="8"/>
  <c r="I334" i="8" s="1"/>
  <c r="Q331" i="8"/>
  <c r="Q334" i="8" s="1"/>
  <c r="Y331" i="8"/>
  <c r="Y334" i="8" s="1"/>
  <c r="AG331" i="8"/>
  <c r="AG334" i="8" s="1"/>
  <c r="D183" i="8"/>
  <c r="D186" i="8" s="1"/>
  <c r="L183" i="8"/>
  <c r="L186" i="8" s="1"/>
  <c r="AB183" i="8"/>
  <c r="AB186" i="8" s="1"/>
  <c r="E220" i="8"/>
  <c r="E223" i="8" s="1"/>
  <c r="M220" i="8"/>
  <c r="M223" i="8" s="1"/>
  <c r="U220" i="8"/>
  <c r="U223" i="8" s="1"/>
  <c r="AC220" i="8"/>
  <c r="AC223" i="8" s="1"/>
  <c r="O294" i="8"/>
  <c r="O297" i="8" s="1"/>
  <c r="W294" i="8"/>
  <c r="W297" i="8" s="1"/>
  <c r="AE294" i="8"/>
  <c r="AE297" i="8" s="1"/>
  <c r="I294" i="8"/>
  <c r="I297" i="8" s="1"/>
  <c r="Q294" i="8"/>
  <c r="Q297" i="8" s="1"/>
  <c r="Y294" i="8"/>
  <c r="Y297" i="8" s="1"/>
  <c r="AG294" i="8"/>
  <c r="AG297" i="8" s="1"/>
  <c r="H331" i="8"/>
  <c r="H334" i="8" s="1"/>
  <c r="P331" i="8"/>
  <c r="P334" i="8" s="1"/>
  <c r="X331" i="8"/>
  <c r="X334" i="8" s="1"/>
  <c r="AF331" i="8"/>
  <c r="AF334" i="8" s="1"/>
  <c r="T183" i="8"/>
  <c r="T186" i="8" s="1"/>
  <c r="AI336" i="8"/>
  <c r="AI368" i="8" s="1"/>
  <c r="AI371" i="8" s="1"/>
  <c r="AI299" i="8"/>
  <c r="AI330" i="8"/>
  <c r="E331" i="8"/>
  <c r="E334" i="8" s="1"/>
  <c r="M331" i="8"/>
  <c r="M334" i="8" s="1"/>
  <c r="U331" i="8"/>
  <c r="U334" i="8" s="1"/>
  <c r="AC331" i="8"/>
  <c r="AC334" i="8" s="1"/>
  <c r="J257" i="8"/>
  <c r="J260" i="8" s="1"/>
  <c r="R257" i="8"/>
  <c r="R260" i="8" s="1"/>
  <c r="Z257" i="8"/>
  <c r="Z260" i="8" s="1"/>
  <c r="AH257" i="8"/>
  <c r="AH260" i="8" s="1"/>
  <c r="D294" i="8"/>
  <c r="D297" i="8" s="1"/>
  <c r="L294" i="8"/>
  <c r="L297" i="8" s="1"/>
  <c r="T294" i="8"/>
  <c r="T297" i="8" s="1"/>
  <c r="AB294" i="8"/>
  <c r="AB297" i="8" s="1"/>
  <c r="AI293" i="8"/>
  <c r="E257" i="8"/>
  <c r="E260" i="8" s="1"/>
  <c r="M257" i="8"/>
  <c r="M260" i="8" s="1"/>
  <c r="F294" i="8"/>
  <c r="F297" i="8" s="1"/>
  <c r="N294" i="8"/>
  <c r="N297" i="8" s="1"/>
  <c r="V294" i="8"/>
  <c r="V297" i="8" s="1"/>
  <c r="AD294" i="8"/>
  <c r="AD297" i="8" s="1"/>
  <c r="I146" i="8"/>
  <c r="I149" i="8" s="1"/>
  <c r="Q146" i="8"/>
  <c r="Q149" i="8" s="1"/>
  <c r="Y146" i="8"/>
  <c r="Y149" i="8" s="1"/>
  <c r="AG146" i="8"/>
  <c r="AG149" i="8" s="1"/>
  <c r="J183" i="8"/>
  <c r="J186" i="8" s="1"/>
  <c r="R183" i="8"/>
  <c r="R186" i="8" s="1"/>
  <c r="Z183" i="8"/>
  <c r="Z186" i="8" s="1"/>
  <c r="AH183" i="8"/>
  <c r="AH186" i="8" s="1"/>
  <c r="D257" i="8"/>
  <c r="D260" i="8" s="1"/>
  <c r="L257" i="8"/>
  <c r="L260" i="8" s="1"/>
  <c r="T257" i="8"/>
  <c r="T260" i="8" s="1"/>
  <c r="AB257" i="8"/>
  <c r="AB260" i="8" s="1"/>
  <c r="F257" i="8"/>
  <c r="F260" i="8" s="1"/>
  <c r="E294" i="8"/>
  <c r="E297" i="8" s="1"/>
  <c r="M294" i="8"/>
  <c r="M297" i="8" s="1"/>
  <c r="U294" i="8"/>
  <c r="U297" i="8" s="1"/>
  <c r="AC294" i="8"/>
  <c r="AC297" i="8" s="1"/>
  <c r="O257" i="8"/>
  <c r="O260" i="8" s="1"/>
  <c r="H257" i="8"/>
  <c r="H260" i="8" s="1"/>
  <c r="P257" i="8"/>
  <c r="P260" i="8" s="1"/>
  <c r="X257" i="8"/>
  <c r="X260" i="8" s="1"/>
  <c r="AF257" i="8"/>
  <c r="AF260" i="8" s="1"/>
  <c r="I257" i="8"/>
  <c r="I260" i="8" s="1"/>
  <c r="Q257" i="8"/>
  <c r="Q260" i="8" s="1"/>
  <c r="Y257" i="8"/>
  <c r="Y260" i="8" s="1"/>
  <c r="AG257" i="8"/>
  <c r="AG260" i="8" s="1"/>
  <c r="C257" i="8"/>
  <c r="C260" i="8" s="1"/>
  <c r="K257" i="8"/>
  <c r="K260" i="8" s="1"/>
  <c r="S257" i="8"/>
  <c r="S260" i="8" s="1"/>
  <c r="AA257" i="8"/>
  <c r="AA260" i="8" s="1"/>
  <c r="I220" i="8"/>
  <c r="I223" i="8" s="1"/>
  <c r="Q220" i="8"/>
  <c r="Q223" i="8" s="1"/>
  <c r="Y220" i="8"/>
  <c r="Y223" i="8" s="1"/>
  <c r="AG220" i="8"/>
  <c r="AG223" i="8" s="1"/>
  <c r="AI225" i="8"/>
  <c r="AI256" i="8"/>
  <c r="U257" i="8"/>
  <c r="U260" i="8" s="1"/>
  <c r="AC257" i="8"/>
  <c r="AC260" i="8" s="1"/>
  <c r="AI262" i="8"/>
  <c r="N257" i="8"/>
  <c r="N260" i="8" s="1"/>
  <c r="V257" i="8"/>
  <c r="V260" i="8" s="1"/>
  <c r="AD257" i="8"/>
  <c r="AD260" i="8" s="1"/>
  <c r="G220" i="8"/>
  <c r="G223" i="8" s="1"/>
  <c r="O220" i="8"/>
  <c r="O223" i="8" s="1"/>
  <c r="W220" i="8"/>
  <c r="W223" i="8" s="1"/>
  <c r="AE220" i="8"/>
  <c r="AE223" i="8" s="1"/>
  <c r="G146" i="8"/>
  <c r="G149" i="8" s="1"/>
  <c r="O146" i="8"/>
  <c r="O149" i="8" s="1"/>
  <c r="W146" i="8"/>
  <c r="W149" i="8" s="1"/>
  <c r="AE146" i="8"/>
  <c r="AE149" i="8" s="1"/>
  <c r="H183" i="8"/>
  <c r="H186" i="8" s="1"/>
  <c r="P183" i="8"/>
  <c r="P186" i="8" s="1"/>
  <c r="X183" i="8"/>
  <c r="X186" i="8" s="1"/>
  <c r="AF183" i="8"/>
  <c r="AF186" i="8" s="1"/>
  <c r="C220" i="8"/>
  <c r="C223" i="8" s="1"/>
  <c r="K220" i="8"/>
  <c r="K223" i="8" s="1"/>
  <c r="S220" i="8"/>
  <c r="S223" i="8" s="1"/>
  <c r="AA220" i="8"/>
  <c r="AA223" i="8" s="1"/>
  <c r="C183" i="8"/>
  <c r="C186" i="8" s="1"/>
  <c r="K183" i="8"/>
  <c r="K186" i="8" s="1"/>
  <c r="S183" i="8"/>
  <c r="S186" i="8" s="1"/>
  <c r="AA183" i="8"/>
  <c r="AA186" i="8" s="1"/>
  <c r="J220" i="8"/>
  <c r="J223" i="8" s="1"/>
  <c r="R220" i="8"/>
  <c r="R223" i="8" s="1"/>
  <c r="Z220" i="8"/>
  <c r="Z223" i="8" s="1"/>
  <c r="AH220" i="8"/>
  <c r="AH223" i="8" s="1"/>
  <c r="D220" i="8"/>
  <c r="D223" i="8" s="1"/>
  <c r="L220" i="8"/>
  <c r="L223" i="8" s="1"/>
  <c r="T220" i="8"/>
  <c r="T223" i="8" s="1"/>
  <c r="AB220" i="8"/>
  <c r="AB223" i="8" s="1"/>
  <c r="AI188" i="8"/>
  <c r="AI219" i="8"/>
  <c r="F183" i="8"/>
  <c r="F186" i="8" s="1"/>
  <c r="N183" i="8"/>
  <c r="N186" i="8" s="1"/>
  <c r="V183" i="8"/>
  <c r="V186" i="8" s="1"/>
  <c r="AD183" i="8"/>
  <c r="AD186" i="8" s="1"/>
  <c r="G109" i="8"/>
  <c r="G112" i="8" s="1"/>
  <c r="O109" i="8"/>
  <c r="O112" i="8" s="1"/>
  <c r="W109" i="8"/>
  <c r="W112" i="8" s="1"/>
  <c r="AE109" i="8"/>
  <c r="AE112" i="8" s="1"/>
  <c r="H146" i="8"/>
  <c r="H149" i="8" s="1"/>
  <c r="P146" i="8"/>
  <c r="P149" i="8" s="1"/>
  <c r="X146" i="8"/>
  <c r="X149" i="8" s="1"/>
  <c r="AF146" i="8"/>
  <c r="AF149" i="8" s="1"/>
  <c r="G183" i="8"/>
  <c r="G186" i="8" s="1"/>
  <c r="O183" i="8"/>
  <c r="O186" i="8" s="1"/>
  <c r="W183" i="8"/>
  <c r="W186" i="8" s="1"/>
  <c r="AE183" i="8"/>
  <c r="AE186" i="8" s="1"/>
  <c r="I183" i="8"/>
  <c r="I186" i="8" s="1"/>
  <c r="Q183" i="8"/>
  <c r="Q186" i="8" s="1"/>
  <c r="Y183" i="8"/>
  <c r="Y186" i="8" s="1"/>
  <c r="AG183" i="8"/>
  <c r="AG186" i="8" s="1"/>
  <c r="G72" i="8"/>
  <c r="G75" i="8" s="1"/>
  <c r="O72" i="8"/>
  <c r="O75" i="8" s="1"/>
  <c r="W72" i="8"/>
  <c r="W75" i="8" s="1"/>
  <c r="AE72" i="8"/>
  <c r="AE75" i="8" s="1"/>
  <c r="I109" i="8"/>
  <c r="I112" i="8" s="1"/>
  <c r="Q109" i="8"/>
  <c r="Q112" i="8" s="1"/>
  <c r="Y109" i="8"/>
  <c r="Y112" i="8" s="1"/>
  <c r="AG109" i="8"/>
  <c r="AG112" i="8" s="1"/>
  <c r="J146" i="8"/>
  <c r="J149" i="8" s="1"/>
  <c r="R146" i="8"/>
  <c r="R149" i="8" s="1"/>
  <c r="Z146" i="8"/>
  <c r="Z149" i="8" s="1"/>
  <c r="AH146" i="8"/>
  <c r="AH149" i="8" s="1"/>
  <c r="AI151" i="8"/>
  <c r="AI182" i="8"/>
  <c r="E183" i="8"/>
  <c r="E186" i="8" s="1"/>
  <c r="M183" i="8"/>
  <c r="M186" i="8" s="1"/>
  <c r="U183" i="8"/>
  <c r="U186" i="8" s="1"/>
  <c r="AC183" i="8"/>
  <c r="AC186" i="8" s="1"/>
  <c r="AI114" i="8"/>
  <c r="E146" i="8"/>
  <c r="E149" i="8" s="1"/>
  <c r="M146" i="8"/>
  <c r="M149" i="8" s="1"/>
  <c r="U146" i="8"/>
  <c r="U149" i="8" s="1"/>
  <c r="AC146" i="8"/>
  <c r="AC149" i="8" s="1"/>
  <c r="H109" i="8"/>
  <c r="H112" i="8" s="1"/>
  <c r="P109" i="8"/>
  <c r="P112" i="8" s="1"/>
  <c r="X109" i="8"/>
  <c r="X112" i="8" s="1"/>
  <c r="AF109" i="8"/>
  <c r="AF112" i="8" s="1"/>
  <c r="C146" i="8"/>
  <c r="C149" i="8" s="1"/>
  <c r="K146" i="8"/>
  <c r="K149" i="8" s="1"/>
  <c r="S146" i="8"/>
  <c r="S149" i="8" s="1"/>
  <c r="AA146" i="8"/>
  <c r="AA149" i="8" s="1"/>
  <c r="C109" i="8"/>
  <c r="C112" i="8" s="1"/>
  <c r="K109" i="8"/>
  <c r="K112" i="8" s="1"/>
  <c r="S109" i="8"/>
  <c r="S112" i="8" s="1"/>
  <c r="AA109" i="8"/>
  <c r="AA112" i="8" s="1"/>
  <c r="D146" i="8"/>
  <c r="D149" i="8" s="1"/>
  <c r="L146" i="8"/>
  <c r="L149" i="8" s="1"/>
  <c r="T146" i="8"/>
  <c r="T149" i="8" s="1"/>
  <c r="AB146" i="8"/>
  <c r="AB149" i="8" s="1"/>
  <c r="AI145" i="8"/>
  <c r="F146" i="8"/>
  <c r="F149" i="8" s="1"/>
  <c r="N146" i="8"/>
  <c r="N149" i="8" s="1"/>
  <c r="V146" i="8"/>
  <c r="V149" i="8" s="1"/>
  <c r="AD146" i="8"/>
  <c r="AD149" i="8" s="1"/>
  <c r="F109" i="8"/>
  <c r="F112" i="8" s="1"/>
  <c r="V109" i="8"/>
  <c r="V112" i="8" s="1"/>
  <c r="N109" i="8"/>
  <c r="N112" i="8" s="1"/>
  <c r="AD109" i="8"/>
  <c r="AD112" i="8" s="1"/>
  <c r="J109" i="8"/>
  <c r="J112" i="8" s="1"/>
  <c r="R109" i="8"/>
  <c r="R112" i="8" s="1"/>
  <c r="Z109" i="8"/>
  <c r="Z112" i="8" s="1"/>
  <c r="AH109" i="8"/>
  <c r="AH112" i="8" s="1"/>
  <c r="AI77" i="8"/>
  <c r="E109" i="8"/>
  <c r="E112" i="8" s="1"/>
  <c r="M109" i="8"/>
  <c r="M112" i="8" s="1"/>
  <c r="U109" i="8"/>
  <c r="U112" i="8" s="1"/>
  <c r="AC109" i="8"/>
  <c r="AC112" i="8" s="1"/>
  <c r="D109" i="8"/>
  <c r="D112" i="8" s="1"/>
  <c r="L109" i="8"/>
  <c r="L112" i="8" s="1"/>
  <c r="T109" i="8"/>
  <c r="T112" i="8" s="1"/>
  <c r="AB109" i="8"/>
  <c r="AB112" i="8" s="1"/>
  <c r="AI108" i="8"/>
  <c r="D72" i="8"/>
  <c r="D75" i="8" s="1"/>
  <c r="L72" i="8"/>
  <c r="L75" i="8" s="1"/>
  <c r="T72" i="8"/>
  <c r="T75" i="8" s="1"/>
  <c r="AB72" i="8"/>
  <c r="AB75" i="8" s="1"/>
  <c r="E72" i="8"/>
  <c r="E75" i="8" s="1"/>
  <c r="AC72" i="8"/>
  <c r="AC75" i="8" s="1"/>
  <c r="Q72" i="8"/>
  <c r="Q75" i="8" s="1"/>
  <c r="Y72" i="8"/>
  <c r="Y75" i="8" s="1"/>
  <c r="AG72" i="8"/>
  <c r="AG75" i="8" s="1"/>
  <c r="H72" i="8"/>
  <c r="H75" i="8" s="1"/>
  <c r="P72" i="8"/>
  <c r="P75" i="8" s="1"/>
  <c r="X72" i="8"/>
  <c r="X75" i="8" s="1"/>
  <c r="AF72" i="8"/>
  <c r="AF75" i="8" s="1"/>
  <c r="C72" i="8"/>
  <c r="C75" i="8" s="1"/>
  <c r="K72" i="8"/>
  <c r="K75" i="8" s="1"/>
  <c r="S72" i="8"/>
  <c r="S75" i="8" s="1"/>
  <c r="AA72" i="8"/>
  <c r="AA75" i="8" s="1"/>
  <c r="M72" i="8"/>
  <c r="M75" i="8" s="1"/>
  <c r="U72" i="8"/>
  <c r="U75" i="8" s="1"/>
  <c r="F72" i="8"/>
  <c r="F75" i="8" s="1"/>
  <c r="N72" i="8"/>
  <c r="N75" i="8" s="1"/>
  <c r="V72" i="8"/>
  <c r="V75" i="8" s="1"/>
  <c r="AD72" i="8"/>
  <c r="AD75" i="8" s="1"/>
  <c r="I72" i="8"/>
  <c r="I75" i="8" s="1"/>
  <c r="J72" i="8"/>
  <c r="J75" i="8" s="1"/>
  <c r="R72" i="8"/>
  <c r="R75" i="8" s="1"/>
  <c r="Z72" i="8"/>
  <c r="Z75" i="8" s="1"/>
  <c r="AH72" i="8"/>
  <c r="AH75" i="8" s="1"/>
  <c r="AI40" i="8"/>
  <c r="AI71" i="8"/>
  <c r="AI34" i="8"/>
  <c r="B25" i="3"/>
  <c r="E25" i="3"/>
  <c r="AI35" i="8" l="1"/>
  <c r="AI38" i="8" s="1"/>
  <c r="C19" i="2"/>
  <c r="AI257" i="8"/>
  <c r="AI260" i="8" s="1"/>
  <c r="AI294" i="8"/>
  <c r="AI297" i="8" s="1"/>
  <c r="AI331" i="8"/>
  <c r="AI334" i="8" s="1"/>
  <c r="AI109" i="8"/>
  <c r="AI112" i="8" s="1"/>
  <c r="AI183" i="8"/>
  <c r="AI186" i="8" s="1"/>
  <c r="AI220" i="8"/>
  <c r="AI223" i="8" s="1"/>
  <c r="AI146" i="8"/>
  <c r="AI149" i="8" s="1"/>
  <c r="AI72" i="8"/>
  <c r="AI75" i="8" s="1"/>
  <c r="D50" i="9" s="1"/>
  <c r="C11" i="2"/>
  <c r="O50" i="9" l="1"/>
  <c r="O52" i="9" s="1"/>
  <c r="C21" i="2"/>
  <c r="B39" i="2" l="1"/>
  <c r="C52" i="9" l="1"/>
  <c r="D29" i="2"/>
  <c r="D52" i="9"/>
  <c r="N52" i="9"/>
  <c r="K52" i="9"/>
  <c r="M52" i="9"/>
  <c r="L52" i="9"/>
  <c r="J52" i="9"/>
  <c r="G52" i="9"/>
  <c r="I52" i="9"/>
  <c r="H52" i="9"/>
  <c r="F29" i="2"/>
  <c r="F52" i="9"/>
  <c r="E52" i="9"/>
  <c r="G32" i="2" l="1"/>
  <c r="G34" i="2" s="1"/>
  <c r="G39" i="2" s="1"/>
  <c r="E32" i="2"/>
  <c r="E34" i="2" s="1"/>
  <c r="E39" i="2" s="1"/>
  <c r="C32" i="2" l="1"/>
  <c r="C34" i="2" s="1"/>
  <c r="C39" i="2" s="1"/>
</calcChain>
</file>

<file path=xl/sharedStrings.xml><?xml version="1.0" encoding="utf-8"?>
<sst xmlns="http://schemas.openxmlformats.org/spreadsheetml/2006/main" count="440" uniqueCount="149">
  <si>
    <t>Gross Profit</t>
  </si>
  <si>
    <t>Operating Expenses</t>
  </si>
  <si>
    <t>Company :  Sai Dham</t>
  </si>
  <si>
    <t>For the year ended 31st Dec 2025</t>
  </si>
  <si>
    <t xml:space="preserve"> - Salaries</t>
  </si>
  <si>
    <t xml:space="preserve"> - Rent</t>
  </si>
  <si>
    <t xml:space="preserve"> - Utilities</t>
  </si>
  <si>
    <t xml:space="preserve"> - Interest</t>
  </si>
  <si>
    <t xml:space="preserve"> - Taxes</t>
  </si>
  <si>
    <t>Company : Sai Dham</t>
  </si>
  <si>
    <t>BALANCE SHEET</t>
  </si>
  <si>
    <t>Assets</t>
  </si>
  <si>
    <t>Amount</t>
  </si>
  <si>
    <t>Current Assets</t>
  </si>
  <si>
    <t>Cash</t>
  </si>
  <si>
    <t>Accounts Receivable</t>
  </si>
  <si>
    <t>Inventory</t>
  </si>
  <si>
    <t>Non-Current (Fixed Assets)</t>
  </si>
  <si>
    <t>Furniture &amp; Fixture</t>
  </si>
  <si>
    <t>Liabilities &amp; Equity</t>
  </si>
  <si>
    <t>Accounts Payable</t>
  </si>
  <si>
    <t>Short-term debt</t>
  </si>
  <si>
    <t>Current Liabilities</t>
  </si>
  <si>
    <t>Long-term Liabilities</t>
  </si>
  <si>
    <t>Long-term Debt</t>
  </si>
  <si>
    <t>Shareholders Equity</t>
  </si>
  <si>
    <t>Common Stock/ Capital</t>
  </si>
  <si>
    <t>Retained Earnings</t>
  </si>
  <si>
    <t>For the period ended Feb 2026</t>
  </si>
  <si>
    <t>ADIL SUPERMARKET</t>
  </si>
  <si>
    <t>AL MADINA</t>
  </si>
  <si>
    <t>ALI AL SAKIT</t>
  </si>
  <si>
    <t>VIVA SUPERMARKET</t>
  </si>
  <si>
    <t>ESSA GROCERY</t>
  </si>
  <si>
    <t>YOUSUF PLASTIC HAMAD</t>
  </si>
  <si>
    <t>ANWAR FLOUR MILL</t>
  </si>
  <si>
    <t>CHUNILAL PURSHOTTAM</t>
  </si>
  <si>
    <t>DUBAI REFRESHMENT(P.J.S.C.)</t>
  </si>
  <si>
    <t>FALCON GLOBAL LLC.</t>
  </si>
  <si>
    <t>JOSHI FHARSAN</t>
  </si>
  <si>
    <t>MODERN KEY TRENDING L.L.C</t>
  </si>
  <si>
    <t>SWADESH</t>
  </si>
  <si>
    <t>NFPC</t>
  </si>
  <si>
    <t>SHINE DAIRY</t>
  </si>
  <si>
    <t>SPOT PACK</t>
  </si>
  <si>
    <t>SHIELD GAS</t>
  </si>
  <si>
    <t>VEGETABLE</t>
  </si>
  <si>
    <t>MR.COPY</t>
  </si>
  <si>
    <t>ROYAL SWEET BAKERY</t>
  </si>
  <si>
    <t>WEST ZONE</t>
  </si>
  <si>
    <t>JASR AL TAWER</t>
  </si>
  <si>
    <t>ALFAZ  AHEMAD ( december , jan)</t>
  </si>
  <si>
    <t xml:space="preserve">Cost of Goods Sold </t>
  </si>
  <si>
    <t xml:space="preserve"> - Opening Stock of goods</t>
  </si>
  <si>
    <t xml:space="preserve"> - Add : Purchases</t>
  </si>
  <si>
    <t>Revenue</t>
  </si>
  <si>
    <t>Adhoc Revenue (Events)</t>
  </si>
  <si>
    <t xml:space="preserve">   Sub Total</t>
  </si>
  <si>
    <t xml:space="preserve"> - Less : Closing Stock of goods</t>
  </si>
  <si>
    <t>Cost of Goods Sold</t>
  </si>
  <si>
    <t>Total Expenses</t>
  </si>
  <si>
    <t>Net Profit (EBIT)</t>
  </si>
  <si>
    <t xml:space="preserve">Net Profit after Interest &amp; Tax </t>
  </si>
  <si>
    <t>Total of Interest &amp; Taxes</t>
  </si>
  <si>
    <t>Sr. No.</t>
  </si>
  <si>
    <t>Description of goods Purchased</t>
  </si>
  <si>
    <t>Online</t>
  </si>
  <si>
    <t>Total</t>
  </si>
  <si>
    <t>Cost of Goods Purchased</t>
  </si>
  <si>
    <t>Sub Total</t>
  </si>
  <si>
    <t>Opening stock of goods</t>
  </si>
  <si>
    <t>COST OF GOODS SOLD - Jan</t>
  </si>
  <si>
    <t>Closing stock of goods</t>
  </si>
  <si>
    <t>COST OF GOODS SOLD - Feb</t>
  </si>
  <si>
    <t>COST OF GOODS SOLD - Mar</t>
  </si>
  <si>
    <t>COST OF GOODS SOLD - Apr</t>
  </si>
  <si>
    <t>COST OF GOODS SOLD - May</t>
  </si>
  <si>
    <t>COST OF GOODS SOLD - Jun</t>
  </si>
  <si>
    <t>COST OF GOODS SOLD - Jul</t>
  </si>
  <si>
    <t>COST OF GOODS SOLD - Aug</t>
  </si>
  <si>
    <t>COST OF GOODS SOLD - Sep</t>
  </si>
  <si>
    <t>COST OF GOODS SOLD - Oct</t>
  </si>
  <si>
    <t>COST OF GOODS SOLD - Nov</t>
  </si>
  <si>
    <t>COST OF GOODS SOLD - Dec</t>
  </si>
  <si>
    <t>Details of Cost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</si>
  <si>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</si>
  <si>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</si>
  <si>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</si>
  <si>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</si>
  <si>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</si>
  <si>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</si>
  <si>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</si>
  <si>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</si>
  <si>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</si>
  <si>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</si>
  <si>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</si>
  <si>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</si>
  <si>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- Sai Dham</t>
  </si>
  <si>
    <t xml:space="preserve"> - Staff Room</t>
  </si>
  <si>
    <t>DEWA Expenses</t>
  </si>
  <si>
    <t>DU Wifi</t>
  </si>
  <si>
    <t>Staff Tips</t>
  </si>
  <si>
    <t xml:space="preserve">Cheque Bounce Charges </t>
  </si>
  <si>
    <t>Maintenance</t>
  </si>
  <si>
    <t>Flowers</t>
  </si>
  <si>
    <t>Conveyance (Taxi fare)</t>
  </si>
  <si>
    <t>Pest Control</t>
  </si>
  <si>
    <t>Knife Sharpening</t>
  </si>
  <si>
    <t>Ravi Naresh - Visa Exchange</t>
  </si>
  <si>
    <t>Budhilal Holiday Settlement</t>
  </si>
  <si>
    <t>Sravan Visa Renewal</t>
  </si>
  <si>
    <t>Day To Day</t>
  </si>
  <si>
    <t>Extra Item</t>
  </si>
  <si>
    <t>Greas Treap</t>
  </si>
  <si>
    <t>NAZIMUDDIN BUILDING</t>
  </si>
  <si>
    <t>Daily Expenses</t>
  </si>
  <si>
    <t>West Zone</t>
  </si>
  <si>
    <t>YTD</t>
  </si>
  <si>
    <t xml:space="preserve"> Jan 2026</t>
  </si>
  <si>
    <t xml:space="preserve"> Feb 2026</t>
  </si>
  <si>
    <t>Salaries</t>
  </si>
  <si>
    <t xml:space="preserve">Rent </t>
  </si>
  <si>
    <t>Utilities</t>
  </si>
  <si>
    <t>i</t>
  </si>
  <si>
    <t>ii</t>
  </si>
  <si>
    <t>Office Expenditure</t>
  </si>
  <si>
    <t>Sign Board</t>
  </si>
  <si>
    <t>Staff Expenses</t>
  </si>
  <si>
    <t>iii</t>
  </si>
  <si>
    <t>iv</t>
  </si>
  <si>
    <t>v</t>
  </si>
  <si>
    <t>Sundry Expenses</t>
  </si>
  <si>
    <t xml:space="preserve"> - Sundry Expenses</t>
  </si>
  <si>
    <t xml:space="preserve"> - Staff Expenses</t>
  </si>
  <si>
    <t xml:space="preserve"> - Office Expenditure</t>
  </si>
  <si>
    <t>Less : Discount</t>
  </si>
  <si>
    <t>Net Sales Revenue</t>
  </si>
  <si>
    <t>Gross Sales Revenue</t>
  </si>
  <si>
    <t>Taxes</t>
  </si>
  <si>
    <t xml:space="preserve"> Mar 2026</t>
  </si>
  <si>
    <t xml:space="preserve"> Apr 2026</t>
  </si>
  <si>
    <t xml:space="preserve"> May 2026</t>
  </si>
  <si>
    <t xml:space="preserve"> Jun 2026</t>
  </si>
  <si>
    <t xml:space="preserve"> Jul 2026</t>
  </si>
  <si>
    <t xml:space="preserve"> Aug 2026</t>
  </si>
  <si>
    <t xml:space="preserve"> Sep 2026</t>
  </si>
  <si>
    <t xml:space="preserve"> Oct 2026</t>
  </si>
  <si>
    <t xml:space="preserve"> Nov 2026</t>
  </si>
  <si>
    <t xml:space="preserve"> Dec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</si>
</sst>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theme="1"/>
      <name val="Calibri"/>
      <charset val="134"/>
      <scheme val="minor"/>
    </font>
    <font>
      <b/>
      <sz val="10"/>
      <color rgb="FFFF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8" fillId="0" borderId="0"/>
  </cellStyleXfs>
  <cellXfs count="66">
    <xf numFmtId="0" fontId="0" fillId="0" borderId="0" xfId="0"/>
    <xf numFmtId="165" fontId="2" fillId="0" borderId="0" xfId="1" applyNumberFormat="1" applyFont="1"/>
    <xf numFmtId="0" fontId="2" fillId="0" borderId="0" xfId="0" applyFont="1"/>
    <xf numFmtId="0" fontId="2" fillId="0" borderId="4" xfId="0" applyFont="1" applyBorder="1"/>
    <xf numFmtId="165" fontId="2" fillId="0" borderId="0" xfId="1" applyNumberFormat="1" applyFont="1" applyBorder="1"/>
    <xf numFmtId="0" fontId="3" fillId="2" borderId="4" xfId="0" applyFont="1" applyFill="1" applyBorder="1"/>
    <xf numFmtId="165" fontId="3" fillId="2" borderId="0" xfId="1" applyNumberFormat="1" applyFont="1" applyFill="1" applyBorder="1"/>
    <xf numFmtId="0" fontId="6" fillId="2" borderId="0" xfId="0" applyFont="1" applyFill="1"/>
    <xf numFmtId="165" fontId="0" fillId="0" borderId="0" xfId="1" applyNumberFormat="1" applyFont="1"/>
    <xf numFmtId="165" fontId="6" fillId="2" borderId="0" xfId="1" applyNumberFormat="1" applyFont="1" applyFill="1"/>
    <xf numFmtId="0" fontId="1" fillId="0" borderId="4" xfId="0" applyFont="1" applyBorder="1"/>
    <xf numFmtId="0" fontId="1" fillId="0" borderId="0" xfId="0" applyFont="1"/>
    <xf numFmtId="0" fontId="3" fillId="2" borderId="7" xfId="0" applyFont="1" applyFill="1" applyBorder="1"/>
    <xf numFmtId="165" fontId="2" fillId="0" borderId="5" xfId="1" applyNumberFormat="1" applyFont="1" applyBorder="1"/>
    <xf numFmtId="165" fontId="2" fillId="0" borderId="5" xfId="1" applyNumberFormat="1" applyFont="1" applyFill="1" applyBorder="1"/>
    <xf numFmtId="165" fontId="2" fillId="0" borderId="5" xfId="0" applyNumberFormat="1" applyFont="1" applyBorder="1"/>
    <xf numFmtId="165" fontId="3" fillId="2" borderId="5" xfId="1" applyNumberFormat="1" applyFont="1" applyFill="1" applyBorder="1"/>
    <xf numFmtId="165" fontId="3" fillId="2" borderId="8" xfId="1" applyNumberFormat="1" applyFont="1" applyFill="1" applyBorder="1"/>
    <xf numFmtId="0" fontId="4" fillId="3" borderId="9" xfId="0" applyFont="1" applyFill="1" applyBorder="1"/>
    <xf numFmtId="0" fontId="1" fillId="0" borderId="10" xfId="0" applyFont="1" applyBorder="1"/>
    <xf numFmtId="0" fontId="2" fillId="0" borderId="10" xfId="0" applyFont="1" applyBorder="1"/>
    <xf numFmtId="0" fontId="9" fillId="0" borderId="10" xfId="0" applyFont="1" applyBorder="1"/>
    <xf numFmtId="0" fontId="3" fillId="2" borderId="10" xfId="0" applyFont="1" applyFill="1" applyBorder="1"/>
    <xf numFmtId="0" fontId="3" fillId="2" borderId="11" xfId="0" applyFont="1" applyFill="1" applyBorder="1"/>
    <xf numFmtId="165" fontId="1" fillId="0" borderId="3" xfId="1" applyNumberFormat="1" applyFont="1" applyBorder="1"/>
    <xf numFmtId="0" fontId="3" fillId="2" borderId="0" xfId="0" applyFont="1" applyFill="1"/>
    <xf numFmtId="165" fontId="1" fillId="0" borderId="0" xfId="1" applyNumberFormat="1" applyFont="1"/>
    <xf numFmtId="165" fontId="1" fillId="0" borderId="0" xfId="0" applyNumberFormat="1" applyFont="1"/>
    <xf numFmtId="165" fontId="3" fillId="2" borderId="0" xfId="0" applyNumberFormat="1" applyFont="1" applyFill="1"/>
    <xf numFmtId="0" fontId="4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4" xfId="0" applyFont="1" applyBorder="1"/>
    <xf numFmtId="0" fontId="9" fillId="0" borderId="0" xfId="0" applyFont="1"/>
    <xf numFmtId="165" fontId="10" fillId="0" borderId="0" xfId="1" applyNumberFormat="1" applyFont="1" applyFill="1" applyBorder="1"/>
    <xf numFmtId="165" fontId="7" fillId="5" borderId="5" xfId="1" applyNumberFormat="1" applyFont="1" applyFill="1" applyBorder="1"/>
    <xf numFmtId="165" fontId="1" fillId="0" borderId="0" xfId="1" applyNumberFormat="1" applyFont="1" applyBorder="1"/>
    <xf numFmtId="165" fontId="1" fillId="0" borderId="5" xfId="0" applyNumberFormat="1" applyFont="1" applyBorder="1"/>
    <xf numFmtId="0" fontId="1" fillId="0" borderId="5" xfId="0" applyFont="1" applyBorder="1"/>
    <xf numFmtId="0" fontId="4" fillId="2" borderId="6" xfId="0" applyFont="1" applyFill="1" applyBorder="1"/>
    <xf numFmtId="165" fontId="3" fillId="2" borderId="7" xfId="0" applyNumberFormat="1" applyFont="1" applyFill="1" applyBorder="1"/>
    <xf numFmtId="165" fontId="3" fillId="2" borderId="8" xfId="0" applyNumberFormat="1" applyFont="1" applyFill="1" applyBorder="1"/>
    <xf numFmtId="165" fontId="1" fillId="6" borderId="0" xfId="1" applyNumberFormat="1" applyFont="1" applyFill="1" applyBorder="1"/>
    <xf numFmtId="0" fontId="1" fillId="6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4" xfId="0" applyFont="1" applyFill="1" applyBorder="1"/>
    <xf numFmtId="0" fontId="1" fillId="7" borderId="4" xfId="0" applyFont="1" applyFill="1" applyBorder="1"/>
    <xf numFmtId="165" fontId="1" fillId="0" borderId="0" xfId="1" applyNumberFormat="1" applyFont="1" applyFill="1" applyBorder="1"/>
    <xf numFmtId="165" fontId="7" fillId="0" borderId="5" xfId="1" applyNumberFormat="1" applyFont="1" applyFill="1" applyBorder="1"/>
    <xf numFmtId="0" fontId="4" fillId="0" borderId="4" xfId="0" applyFont="1" applyBorder="1" applyAlignment="1">
      <alignment horizontal="center"/>
    </xf>
    <xf numFmtId="165" fontId="4" fillId="0" borderId="0" xfId="1" applyNumberFormat="1" applyFont="1" applyFill="1" applyBorder="1"/>
    <xf numFmtId="165" fontId="9" fillId="5" borderId="5" xfId="1" applyNumberFormat="1" applyFont="1" applyFill="1" applyBorder="1"/>
    <xf numFmtId="165" fontId="4" fillId="6" borderId="0" xfId="1" applyNumberFormat="1" applyFont="1" applyFill="1" applyBorder="1"/>
    <xf numFmtId="0" fontId="4" fillId="0" borderId="10" xfId="0" applyFont="1" applyBorder="1"/>
    <xf numFmtId="165" fontId="4" fillId="0" borderId="5" xfId="1" applyNumberFormat="1" applyFont="1" applyBorder="1"/>
    <xf numFmtId="165" fontId="4" fillId="0" borderId="5" xfId="1" applyNumberFormat="1" applyFont="1" applyFill="1" applyBorder="1"/>
    <xf numFmtId="165" fontId="2" fillId="6" borderId="5" xfId="1" applyNumberFormat="1" applyFont="1" applyFill="1" applyBorder="1"/>
    <xf numFmtId="0" fontId="2" fillId="6" borderId="0" xfId="0" applyFont="1" applyFill="1"/>
    <xf numFmtId="43" fontId="1" fillId="0" borderId="0" xfId="0" applyNumberFormat="1" applyFont="1"/>
    <xf numFmtId="165" fontId="2" fillId="8" borderId="5" xfId="1" applyNumberFormat="1" applyFont="1" applyFill="1" applyBorder="1"/>
    <xf numFmtId="165" fontId="3" fillId="2" borderId="7" xfId="1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Normal 2" xfId="2" xr:uid="{70F650B0-BB41-4C46-8C07-9BA2F9404891}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lag-my.sharepoint.com/personal/vitthal_sawant_hlag_com/Documents/Desktop/SaiDham/Daily%20Sales.xlsx" TargetMode="External"/><Relationship Id="rId1" Type="http://schemas.openxmlformats.org/officeDocument/2006/relationships/externalLinkPath" Target="Daily%20Sa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lag-my.sharepoint.com/personal/vitthal_sawant_hlag_com/Documents/Desktop/SaiDham/JANUARY%20TO%20DECEMBER%202026%20MONTH%20EXPENSES.xlsx" TargetMode="External"/><Relationship Id="rId1" Type="http://schemas.openxmlformats.org/officeDocument/2006/relationships/externalLinkPath" Target="JANUARY%20TO%20DECEMBER%202026%20MONTH%20EXPEN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ed Jan"/>
      <sheetName val="Revised Feb"/>
      <sheetName val="JANUARY"/>
      <sheetName val="FEBRUARY"/>
    </sheetNames>
    <sheetDataSet>
      <sheetData sheetId="0">
        <row r="1">
          <cell r="I1">
            <v>51898.180000000008</v>
          </cell>
          <cell r="J1">
            <v>-801.99999999999989</v>
          </cell>
          <cell r="L1">
            <v>2385.2400000000002</v>
          </cell>
        </row>
      </sheetData>
      <sheetData sheetId="1">
        <row r="1">
          <cell r="I1">
            <v>26710.5</v>
          </cell>
          <cell r="J1">
            <v>-549.5</v>
          </cell>
          <cell r="L1">
            <v>1243.29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"/>
      <sheetName val="FEBRUARY"/>
      <sheetName val="MARCH"/>
      <sheetName val="Sheet1"/>
    </sheetNames>
    <sheetDataSet>
      <sheetData sheetId="0">
        <row r="26">
          <cell r="AI26">
            <v>1152.9000000000001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B11F-34B2-4813-BBC8-91E9FC5D67CA}">
  <dimension ref="A1:AB39"/>
  <sheetViews>
    <sheetView showGridLines="0" workbookViewId="0">
      <pane xSplit="1" ySplit="2" topLeftCell="B16" activePane="bottomRight" state="frozen"/>
      <selection pane="topRight" activeCell="B1" sqref="B1"/>
      <selection pane="bottomLeft" activeCell="A3" sqref="A3"/>
      <selection pane="bottomRight" activeCell="D40" sqref="D40"/>
    </sheetView>
  </sheetViews>
  <sheetFormatPr defaultRowHeight="12.5" outlineLevelCol="1"/>
  <cols>
    <col min="1" max="1" width="30.26953125" style="2" customWidth="1"/>
    <col min="2" max="2" width="8.7265625" style="1" bestFit="1" customWidth="1"/>
    <col min="3" max="3" width="8.7265625" style="1" customWidth="1"/>
    <col min="4" max="4" width="8.7265625" style="1" bestFit="1" customWidth="1"/>
    <col min="5" max="5" width="8.7265625" style="1" customWidth="1"/>
    <col min="6" max="6" width="8.7265625" style="1" bestFit="1" customWidth="1"/>
    <col min="7" max="7" width="8.7265625" style="1" customWidth="1"/>
    <col min="8" max="27" width="8.7265625" style="1" customWidth="1" outlineLevel="1"/>
    <col min="28" max="16384" width="8.7265625" style="2"/>
  </cols>
  <sheetData>
    <row r="1" spans="1:28" ht="13">
      <c r="B1" s="65" t="s">
        <v>117</v>
      </c>
      <c r="C1" s="65"/>
      <c r="D1" s="65" t="s">
        <v>118</v>
      </c>
      <c r="E1" s="65"/>
      <c r="F1" s="65" t="s">
        <v>119</v>
      </c>
      <c r="G1" s="65"/>
      <c r="H1" s="65" t="s">
        <v>139</v>
      </c>
      <c r="I1" s="65"/>
      <c r="J1" s="65" t="s">
        <v>140</v>
      </c>
      <c r="K1" s="65"/>
      <c r="L1" s="65" t="s">
        <v>141</v>
      </c>
      <c r="M1" s="65"/>
      <c r="N1" s="65" t="s">
        <v>142</v>
      </c>
      <c r="O1" s="65"/>
      <c r="P1" s="65" t="s">
        <v>143</v>
      </c>
      <c r="Q1" s="65"/>
      <c r="R1" s="65" t="s">
        <v>144</v>
      </c>
      <c r="S1" s="65"/>
      <c r="T1" s="65" t="s">
        <v>145</v>
      </c>
      <c r="U1" s="65"/>
      <c r="V1" s="65" t="s">
        <v>146</v>
      </c>
      <c r="W1" s="65"/>
      <c r="X1" s="65" t="s">
        <v>147</v>
      </c>
      <c r="Y1" s="65"/>
      <c r="Z1" s="65" t="s">
        <v>148</v>
      </c>
      <c r="AA1" s="65"/>
    </row>
    <row r="2" spans="1:28" ht="13">
      <c r="A2" s="18" t="s">
        <v>2</v>
      </c>
      <c r="B2" s="24" t="s">
        <v>12</v>
      </c>
      <c r="C2" s="24" t="s">
        <v>12</v>
      </c>
      <c r="D2" s="24" t="s">
        <v>12</v>
      </c>
      <c r="E2" s="24" t="s">
        <v>12</v>
      </c>
      <c r="F2" s="24" t="s">
        <v>12</v>
      </c>
      <c r="G2" s="24" t="s">
        <v>12</v>
      </c>
      <c r="H2" s="24" t="s">
        <v>12</v>
      </c>
      <c r="I2" s="24" t="s">
        <v>12</v>
      </c>
      <c r="J2" s="24" t="s">
        <v>12</v>
      </c>
      <c r="K2" s="24" t="s">
        <v>12</v>
      </c>
      <c r="L2" s="24" t="s">
        <v>12</v>
      </c>
      <c r="M2" s="24" t="s">
        <v>12</v>
      </c>
      <c r="N2" s="24" t="s">
        <v>12</v>
      </c>
      <c r="O2" s="24" t="s">
        <v>12</v>
      </c>
      <c r="P2" s="24" t="s">
        <v>12</v>
      </c>
      <c r="Q2" s="24" t="s">
        <v>12</v>
      </c>
      <c r="R2" s="24" t="s">
        <v>12</v>
      </c>
      <c r="S2" s="24" t="s">
        <v>12</v>
      </c>
      <c r="T2" s="24" t="s">
        <v>12</v>
      </c>
      <c r="U2" s="24" t="s">
        <v>12</v>
      </c>
      <c r="V2" s="24" t="s">
        <v>12</v>
      </c>
      <c r="W2" s="24" t="s">
        <v>12</v>
      </c>
      <c r="X2" s="24" t="s">
        <v>12</v>
      </c>
      <c r="Y2" s="24" t="s">
        <v>12</v>
      </c>
      <c r="Z2" s="24" t="s">
        <v>12</v>
      </c>
      <c r="AA2" s="24" t="s">
        <v>12</v>
      </c>
    </row>
    <row r="3" spans="1:28">
      <c r="A3" s="19" t="s">
        <v>28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8">
      <c r="A4" s="20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8" ht="13">
      <c r="A5" s="21" t="s">
        <v>55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8" ht="7" customHeight="1">
      <c r="A6" s="20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8">
      <c r="A7" s="19" t="s">
        <v>137</v>
      </c>
      <c r="B7" s="13">
        <f>D7+F7+H7+J7+L7+N7+P7+R7+T7+V7+X7+Z7</f>
        <v>78608.680000000008</v>
      </c>
      <c r="C7" s="13"/>
      <c r="D7" s="61">
        <f>'[1]Revised Jan'!$I$1</f>
        <v>51898.180000000008</v>
      </c>
      <c r="E7" s="13"/>
      <c r="F7" s="61">
        <f>'[1]Revised Feb'!$I$1</f>
        <v>26710.5</v>
      </c>
      <c r="G7" s="13"/>
      <c r="H7" s="61"/>
      <c r="I7" s="13"/>
      <c r="J7" s="61"/>
      <c r="K7" s="13"/>
      <c r="L7" s="61"/>
      <c r="M7" s="13"/>
      <c r="N7" s="61"/>
      <c r="O7" s="13"/>
      <c r="P7" s="61"/>
      <c r="Q7" s="13"/>
      <c r="R7" s="61"/>
      <c r="S7" s="13"/>
      <c r="T7" s="61"/>
      <c r="U7" s="13"/>
      <c r="V7" s="61"/>
      <c r="W7" s="13"/>
      <c r="X7" s="61"/>
      <c r="Y7" s="13"/>
      <c r="Z7" s="61"/>
      <c r="AA7" s="13"/>
    </row>
    <row r="8" spans="1:28">
      <c r="A8" s="19" t="s">
        <v>135</v>
      </c>
      <c r="B8" s="13">
        <f>D8+F8+H8+J8+L8+N8+P8+R8+T8+V8+X8+Z8</f>
        <v>-1351.5</v>
      </c>
      <c r="C8" s="13">
        <f>SUM(B7:B8)</f>
        <v>77257.180000000008</v>
      </c>
      <c r="D8" s="61">
        <f>'[1]Revised Jan'!$J$1</f>
        <v>-801.99999999999989</v>
      </c>
      <c r="E8" s="13">
        <f>SUM(D7:D8)</f>
        <v>51096.180000000008</v>
      </c>
      <c r="F8" s="61">
        <f>'[1]Revised Feb'!$J$1</f>
        <v>-549.5</v>
      </c>
      <c r="G8" s="13">
        <f>SUM(F7:F8)</f>
        <v>26161</v>
      </c>
      <c r="H8" s="61"/>
      <c r="I8" s="13">
        <f>SUM(H7:H8)</f>
        <v>0</v>
      </c>
      <c r="J8" s="61"/>
      <c r="K8" s="13">
        <f>SUM(J7:J8)</f>
        <v>0</v>
      </c>
      <c r="L8" s="61"/>
      <c r="M8" s="13">
        <f>SUM(L7:L8)</f>
        <v>0</v>
      </c>
      <c r="N8" s="61"/>
      <c r="O8" s="13">
        <f>SUM(N7:N8)</f>
        <v>0</v>
      </c>
      <c r="P8" s="61"/>
      <c r="Q8" s="13">
        <f>SUM(P7:P8)</f>
        <v>0</v>
      </c>
      <c r="R8" s="61"/>
      <c r="S8" s="13">
        <f>SUM(R7:R8)</f>
        <v>0</v>
      </c>
      <c r="T8" s="61"/>
      <c r="U8" s="13">
        <f>SUM(T7:T8)</f>
        <v>0</v>
      </c>
      <c r="V8" s="61"/>
      <c r="W8" s="13">
        <f>SUM(V7:V8)</f>
        <v>0</v>
      </c>
      <c r="X8" s="61"/>
      <c r="Y8" s="13">
        <f>SUM(X7:X8)</f>
        <v>0</v>
      </c>
      <c r="Z8" s="61"/>
      <c r="AA8" s="13">
        <f>SUM(Z7:Z8)</f>
        <v>0</v>
      </c>
    </row>
    <row r="9" spans="1:28" ht="7" customHeight="1">
      <c r="A9" s="20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8">
      <c r="A10" s="19" t="s">
        <v>56</v>
      </c>
      <c r="B10" s="13">
        <f>D10+F10+H10+J10+L10+N10+P10+R10+T10+V10+X10+Z10</f>
        <v>0</v>
      </c>
      <c r="C10" s="13"/>
      <c r="D10" s="61">
        <v>0</v>
      </c>
      <c r="E10" s="13"/>
      <c r="F10" s="61">
        <v>0</v>
      </c>
      <c r="G10" s="13"/>
      <c r="H10" s="61">
        <v>0</v>
      </c>
      <c r="I10" s="13"/>
      <c r="J10" s="61">
        <v>0</v>
      </c>
      <c r="K10" s="13"/>
      <c r="L10" s="61">
        <v>0</v>
      </c>
      <c r="M10" s="13"/>
      <c r="N10" s="61">
        <v>0</v>
      </c>
      <c r="O10" s="13"/>
      <c r="P10" s="61">
        <v>0</v>
      </c>
      <c r="Q10" s="13"/>
      <c r="R10" s="61">
        <v>0</v>
      </c>
      <c r="S10" s="13"/>
      <c r="T10" s="61">
        <v>0</v>
      </c>
      <c r="U10" s="13"/>
      <c r="V10" s="61">
        <v>0</v>
      </c>
      <c r="W10" s="13"/>
      <c r="X10" s="61">
        <v>0</v>
      </c>
      <c r="Y10" s="13"/>
      <c r="Z10" s="61">
        <v>0</v>
      </c>
      <c r="AA10" s="13"/>
      <c r="AB10" s="62"/>
    </row>
    <row r="11" spans="1:28" s="29" customFormat="1" ht="13">
      <c r="A11" s="58" t="s">
        <v>136</v>
      </c>
      <c r="B11" s="59"/>
      <c r="C11" s="59">
        <f>SUM(B7:B10)</f>
        <v>77257.180000000008</v>
      </c>
      <c r="D11" s="59"/>
      <c r="E11" s="59">
        <f>SUM(D7:D10)</f>
        <v>51096.180000000008</v>
      </c>
      <c r="F11" s="59"/>
      <c r="G11" s="59">
        <f>SUM(F7:F10)</f>
        <v>26161</v>
      </c>
      <c r="H11" s="59"/>
      <c r="I11" s="59">
        <f>SUM(H7:H10)</f>
        <v>0</v>
      </c>
      <c r="J11" s="59"/>
      <c r="K11" s="59">
        <f>SUM(J7:J10)</f>
        <v>0</v>
      </c>
      <c r="L11" s="59"/>
      <c r="M11" s="59">
        <f>SUM(L7:L10)</f>
        <v>0</v>
      </c>
      <c r="N11" s="59"/>
      <c r="O11" s="59">
        <f>SUM(N7:N10)</f>
        <v>0</v>
      </c>
      <c r="P11" s="59"/>
      <c r="Q11" s="59">
        <f>SUM(P7:P10)</f>
        <v>0</v>
      </c>
      <c r="R11" s="59"/>
      <c r="S11" s="59">
        <f>SUM(R7:R10)</f>
        <v>0</v>
      </c>
      <c r="T11" s="59"/>
      <c r="U11" s="59">
        <f>SUM(T7:T10)</f>
        <v>0</v>
      </c>
      <c r="V11" s="59"/>
      <c r="W11" s="59">
        <f>SUM(V7:V10)</f>
        <v>0</v>
      </c>
      <c r="X11" s="59"/>
      <c r="Y11" s="59">
        <f>SUM(X7:X10)</f>
        <v>0</v>
      </c>
      <c r="Z11" s="59"/>
      <c r="AA11" s="59">
        <f>SUM(Z7:Z10)</f>
        <v>0</v>
      </c>
    </row>
    <row r="12" spans="1:28">
      <c r="A12" s="20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8" ht="13">
      <c r="A13" s="21" t="s">
        <v>52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8" ht="7" customHeight="1">
      <c r="A14" s="2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8">
      <c r="A15" s="19" t="s">
        <v>53</v>
      </c>
      <c r="B15" s="13">
        <f>D15+F15+H15+J15+L15+N15+P15+R15+T15+V15+X15+Z15</f>
        <v>0</v>
      </c>
      <c r="C15" s="14"/>
      <c r="D15" s="14">
        <f>'Daily Expenses'!AI3</f>
        <v>0</v>
      </c>
      <c r="E15" s="14"/>
      <c r="F15" s="14">
        <f>'Daily Expenses'!AI40</f>
        <v>0</v>
      </c>
      <c r="G15" s="14"/>
      <c r="H15" s="14">
        <f>'Daily Expenses'!AI77</f>
        <v>0</v>
      </c>
      <c r="I15" s="14"/>
      <c r="J15" s="14">
        <f>'Daily Expenses'!AI114</f>
        <v>0</v>
      </c>
      <c r="K15" s="14"/>
      <c r="L15" s="14">
        <f>'Daily Expenses'!AI151</f>
        <v>0</v>
      </c>
      <c r="M15" s="14"/>
      <c r="N15" s="14">
        <f>'Daily Expenses'!AI188</f>
        <v>0</v>
      </c>
      <c r="O15" s="14"/>
      <c r="P15" s="14">
        <f>'Daily Expenses'!AI225</f>
        <v>0</v>
      </c>
      <c r="Q15" s="14"/>
      <c r="R15" s="14">
        <f>'Daily Expenses'!AI262</f>
        <v>0</v>
      </c>
      <c r="S15" s="14"/>
      <c r="T15" s="14">
        <f>'Daily Expenses'!AI299</f>
        <v>0</v>
      </c>
      <c r="U15" s="14"/>
      <c r="V15" s="14">
        <f>'Daily Expenses'!AI336</f>
        <v>0</v>
      </c>
      <c r="W15" s="14"/>
      <c r="X15" s="14">
        <f>'Daily Expenses'!AI373</f>
        <v>0</v>
      </c>
      <c r="Y15" s="14"/>
      <c r="Z15" s="14">
        <f>'Daily Expenses'!AI410</f>
        <v>0</v>
      </c>
      <c r="AA15" s="14"/>
    </row>
    <row r="16" spans="1:28">
      <c r="A16" s="19" t="s">
        <v>54</v>
      </c>
      <c r="B16" s="13">
        <f>D16+F16+H16+J16+L16+N16+P16+R16+T16+V16+X16+Z16</f>
        <v>20756.120000000003</v>
      </c>
      <c r="C16" s="13"/>
      <c r="D16" s="13">
        <f>'Daily Expenses'!AI34</f>
        <v>17547.940000000002</v>
      </c>
      <c r="E16" s="13"/>
      <c r="F16" s="13">
        <f>'Daily Expenses'!AI71</f>
        <v>3208.1800000000003</v>
      </c>
      <c r="G16" s="13"/>
      <c r="H16" s="13">
        <f>'Daily Expenses'!AI108</f>
        <v>0</v>
      </c>
      <c r="I16" s="13"/>
      <c r="J16" s="13">
        <f>'Daily Expenses'!AI144</f>
        <v>0</v>
      </c>
      <c r="K16" s="13"/>
      <c r="L16" s="13">
        <f>'Daily Expenses'!AI182</f>
        <v>0</v>
      </c>
      <c r="M16" s="13"/>
      <c r="N16" s="13">
        <f>'Daily Expenses'!AI219</f>
        <v>0</v>
      </c>
      <c r="O16" s="13"/>
      <c r="P16" s="13">
        <f>'Daily Expenses'!AI256</f>
        <v>0</v>
      </c>
      <c r="Q16" s="13"/>
      <c r="R16" s="13">
        <f>'Daily Expenses'!AI293</f>
        <v>0</v>
      </c>
      <c r="S16" s="13"/>
      <c r="T16" s="13">
        <f>'Daily Expenses'!AI330</f>
        <v>0</v>
      </c>
      <c r="U16" s="13"/>
      <c r="V16" s="13">
        <f>'Daily Expenses'!AI367</f>
        <v>0</v>
      </c>
      <c r="W16" s="13"/>
      <c r="X16" s="13">
        <f>'Daily Expenses'!AI404</f>
        <v>0</v>
      </c>
      <c r="Y16" s="13"/>
      <c r="Z16" s="13">
        <f>'Daily Expenses'!AI441</f>
        <v>0</v>
      </c>
      <c r="AA16" s="13"/>
    </row>
    <row r="17" spans="1:27">
      <c r="A17" s="19" t="s">
        <v>57</v>
      </c>
      <c r="B17" s="13">
        <f>D17+F17+H17+J17+L17+N17+P17+R17+T17+V17+X17+Z17</f>
        <v>20756.120000000003</v>
      </c>
      <c r="C17" s="15"/>
      <c r="D17" s="15">
        <f>SUM(D15:D16)</f>
        <v>17547.940000000002</v>
      </c>
      <c r="E17" s="15"/>
      <c r="F17" s="15">
        <f>SUM(F15:F16)</f>
        <v>3208.1800000000003</v>
      </c>
      <c r="G17" s="15"/>
      <c r="H17" s="15">
        <f>SUM(H15:H16)</f>
        <v>0</v>
      </c>
      <c r="I17" s="15"/>
      <c r="J17" s="15">
        <f>SUM(J15:J16)</f>
        <v>0</v>
      </c>
      <c r="K17" s="15"/>
      <c r="L17" s="15">
        <f>SUM(L15:L16)</f>
        <v>0</v>
      </c>
      <c r="M17" s="15"/>
      <c r="N17" s="15">
        <f>SUM(N15:N16)</f>
        <v>0</v>
      </c>
      <c r="O17" s="15"/>
      <c r="P17" s="15">
        <f>SUM(P15:P16)</f>
        <v>0</v>
      </c>
      <c r="Q17" s="15"/>
      <c r="R17" s="15">
        <f>SUM(R15:R16)</f>
        <v>0</v>
      </c>
      <c r="S17" s="15"/>
      <c r="T17" s="15">
        <f>SUM(T15:T16)</f>
        <v>0</v>
      </c>
      <c r="U17" s="15"/>
      <c r="V17" s="15">
        <f>SUM(V15:V16)</f>
        <v>0</v>
      </c>
      <c r="W17" s="15"/>
      <c r="X17" s="15">
        <f>SUM(X15:X16)</f>
        <v>0</v>
      </c>
      <c r="Y17" s="15"/>
      <c r="Z17" s="15">
        <f>SUM(Z15:Z16)</f>
        <v>0</v>
      </c>
      <c r="AA17" s="15"/>
    </row>
    <row r="18" spans="1:27">
      <c r="A18" s="19" t="s">
        <v>58</v>
      </c>
      <c r="B18" s="14">
        <v>0</v>
      </c>
      <c r="C18" s="14"/>
      <c r="D18" s="14">
        <f>'Daily Expenses'!AI36</f>
        <v>0</v>
      </c>
      <c r="E18" s="14"/>
      <c r="F18" s="14">
        <f>'Daily Expenses'!AI73</f>
        <v>0</v>
      </c>
      <c r="G18" s="14"/>
      <c r="H18" s="14">
        <f>'Daily Expenses'!AI110</f>
        <v>0</v>
      </c>
      <c r="I18" s="14"/>
      <c r="J18" s="14">
        <f>'Daily Expenses'!AI147</f>
        <v>0</v>
      </c>
      <c r="K18" s="14"/>
      <c r="L18" s="14">
        <f>'Daily Expenses'!AI184</f>
        <v>0</v>
      </c>
      <c r="M18" s="14"/>
      <c r="N18" s="14">
        <f>'Daily Expenses'!AI221</f>
        <v>0</v>
      </c>
      <c r="O18" s="14"/>
      <c r="P18" s="14">
        <f>'Daily Expenses'!AI258</f>
        <v>0</v>
      </c>
      <c r="Q18" s="14"/>
      <c r="R18" s="14">
        <f>'Daily Expenses'!AI295</f>
        <v>0</v>
      </c>
      <c r="S18" s="14"/>
      <c r="T18" s="14">
        <f>'Daily Expenses'!AI332</f>
        <v>0</v>
      </c>
      <c r="U18" s="14"/>
      <c r="V18" s="14">
        <f>'Daily Expenses'!AI369</f>
        <v>0</v>
      </c>
      <c r="W18" s="14"/>
      <c r="X18" s="14">
        <f>'Daily Expenses'!AI406</f>
        <v>0</v>
      </c>
      <c r="Y18" s="14"/>
      <c r="Z18" s="14">
        <f>'Daily Expenses'!AI443</f>
        <v>0</v>
      </c>
      <c r="AA18" s="14"/>
    </row>
    <row r="19" spans="1:27" s="29" customFormat="1" ht="13">
      <c r="A19" s="58" t="s">
        <v>59</v>
      </c>
      <c r="B19" s="60"/>
      <c r="C19" s="60">
        <f>B17-B18</f>
        <v>20756.120000000003</v>
      </c>
      <c r="D19" s="60"/>
      <c r="E19" s="60">
        <f>D17-D18</f>
        <v>17547.940000000002</v>
      </c>
      <c r="F19" s="60"/>
      <c r="G19" s="60">
        <f>F17-F18</f>
        <v>3208.1800000000003</v>
      </c>
      <c r="H19" s="60"/>
      <c r="I19" s="60">
        <f>H17-H18</f>
        <v>0</v>
      </c>
      <c r="J19" s="60"/>
      <c r="K19" s="60">
        <f>J17-J18</f>
        <v>0</v>
      </c>
      <c r="L19" s="60"/>
      <c r="M19" s="60">
        <f>L17-L18</f>
        <v>0</v>
      </c>
      <c r="N19" s="60"/>
      <c r="O19" s="60">
        <f>N17-N18</f>
        <v>0</v>
      </c>
      <c r="P19" s="60"/>
      <c r="Q19" s="60">
        <f>P17-P18</f>
        <v>0</v>
      </c>
      <c r="R19" s="60"/>
      <c r="S19" s="60">
        <f>R17-R18</f>
        <v>0</v>
      </c>
      <c r="T19" s="60"/>
      <c r="U19" s="60">
        <f>T17-T18</f>
        <v>0</v>
      </c>
      <c r="V19" s="60"/>
      <c r="W19" s="60">
        <f>V17-V18</f>
        <v>0</v>
      </c>
      <c r="X19" s="60"/>
      <c r="Y19" s="60">
        <f>X17-X18</f>
        <v>0</v>
      </c>
      <c r="Z19" s="60"/>
      <c r="AA19" s="60">
        <f>Z17-Z18</f>
        <v>0</v>
      </c>
    </row>
    <row r="20" spans="1:27" ht="7.5" customHeight="1">
      <c r="A20" s="20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3">
      <c r="A21" s="22" t="s">
        <v>0</v>
      </c>
      <c r="B21" s="16"/>
      <c r="C21" s="16">
        <f>C11-C19</f>
        <v>56501.060000000005</v>
      </c>
      <c r="D21" s="16"/>
      <c r="E21" s="16">
        <f>E11-E19</f>
        <v>33548.240000000005</v>
      </c>
      <c r="F21" s="16"/>
      <c r="G21" s="16">
        <f>G11-G19</f>
        <v>22952.82</v>
      </c>
      <c r="H21" s="16"/>
      <c r="I21" s="16">
        <f>I11-I19</f>
        <v>0</v>
      </c>
      <c r="J21" s="16"/>
      <c r="K21" s="16">
        <f>K11-K19</f>
        <v>0</v>
      </c>
      <c r="L21" s="16"/>
      <c r="M21" s="16">
        <f>M11-M19</f>
        <v>0</v>
      </c>
      <c r="N21" s="16"/>
      <c r="O21" s="16">
        <f>O11-O19</f>
        <v>0</v>
      </c>
      <c r="P21" s="16"/>
      <c r="Q21" s="16">
        <f>Q11-Q19</f>
        <v>0</v>
      </c>
      <c r="R21" s="16"/>
      <c r="S21" s="16">
        <f>S11-S19</f>
        <v>0</v>
      </c>
      <c r="T21" s="16"/>
      <c r="U21" s="16">
        <f>U11-U19</f>
        <v>0</v>
      </c>
      <c r="V21" s="16"/>
      <c r="W21" s="16">
        <f>W11-W19</f>
        <v>0</v>
      </c>
      <c r="X21" s="16"/>
      <c r="Y21" s="16">
        <f>Y11-Y19</f>
        <v>0</v>
      </c>
      <c r="Z21" s="16"/>
      <c r="AA21" s="16">
        <f>AA11-AA19</f>
        <v>0</v>
      </c>
    </row>
    <row r="22" spans="1:27" ht="6" customHeight="1">
      <c r="A22" s="20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3">
      <c r="A23" s="21" t="s">
        <v>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>
      <c r="A24" s="20" t="s">
        <v>4</v>
      </c>
      <c r="B24" s="13">
        <f t="shared" ref="B24:B30" si="0">D24+F24+H24+J24+L24+N24+P24+R24+T24+V24+X24+Z24</f>
        <v>31415.66</v>
      </c>
      <c r="C24" s="13"/>
      <c r="D24" s="13">
        <f>'Recurring Cost'!C3</f>
        <v>13177.66</v>
      </c>
      <c r="E24" s="13"/>
      <c r="F24" s="13">
        <f>'Recurring Cost'!D3</f>
        <v>18238</v>
      </c>
      <c r="G24" s="13"/>
      <c r="H24" s="13">
        <f>'Recurring Cost'!E3</f>
        <v>0</v>
      </c>
      <c r="I24" s="13"/>
      <c r="J24" s="13">
        <f>'Recurring Cost'!F3</f>
        <v>0</v>
      </c>
      <c r="K24" s="13"/>
      <c r="L24" s="13">
        <f>'Recurring Cost'!G3</f>
        <v>0</v>
      </c>
      <c r="M24" s="13"/>
      <c r="N24" s="13">
        <f>'Recurring Cost'!H3</f>
        <v>0</v>
      </c>
      <c r="O24" s="13"/>
      <c r="P24" s="13">
        <f>'Recurring Cost'!I3</f>
        <v>0</v>
      </c>
      <c r="Q24" s="13"/>
      <c r="R24" s="13">
        <f>'Recurring Cost'!J3</f>
        <v>0</v>
      </c>
      <c r="S24" s="13"/>
      <c r="T24" s="13">
        <f>'Recurring Cost'!K3</f>
        <v>0</v>
      </c>
      <c r="U24" s="13"/>
      <c r="V24" s="13">
        <f>'Recurring Cost'!L3</f>
        <v>0</v>
      </c>
      <c r="W24" s="13"/>
      <c r="X24" s="13">
        <f>'Recurring Cost'!M3</f>
        <v>0</v>
      </c>
      <c r="Y24" s="13"/>
      <c r="Z24" s="13">
        <f>'Recurring Cost'!N3</f>
        <v>0</v>
      </c>
      <c r="AA24" s="13"/>
    </row>
    <row r="25" spans="1:27">
      <c r="A25" s="20" t="s">
        <v>5</v>
      </c>
      <c r="B25" s="13">
        <f t="shared" si="0"/>
        <v>0</v>
      </c>
      <c r="C25" s="13"/>
      <c r="D25" s="13">
        <f>'Recurring Cost'!C4</f>
        <v>0</v>
      </c>
      <c r="E25" s="13"/>
      <c r="F25" s="13">
        <f>'Recurring Cost'!D4</f>
        <v>0</v>
      </c>
      <c r="G25" s="13"/>
      <c r="H25" s="13">
        <f>'Recurring Cost'!E4</f>
        <v>0</v>
      </c>
      <c r="I25" s="13"/>
      <c r="J25" s="13">
        <f>'Recurring Cost'!F4</f>
        <v>0</v>
      </c>
      <c r="K25" s="13"/>
      <c r="L25" s="13">
        <f>'Recurring Cost'!G4</f>
        <v>0</v>
      </c>
      <c r="M25" s="13"/>
      <c r="N25" s="13">
        <f>'Recurring Cost'!H4</f>
        <v>0</v>
      </c>
      <c r="O25" s="13"/>
      <c r="P25" s="13">
        <f>'Recurring Cost'!I4</f>
        <v>0</v>
      </c>
      <c r="Q25" s="13"/>
      <c r="R25" s="13">
        <f>'Recurring Cost'!J4</f>
        <v>0</v>
      </c>
      <c r="S25" s="13"/>
      <c r="T25" s="13">
        <f>'Recurring Cost'!K4</f>
        <v>0</v>
      </c>
      <c r="U25" s="13"/>
      <c r="V25" s="13">
        <f>'Recurring Cost'!L4</f>
        <v>0</v>
      </c>
      <c r="W25" s="13"/>
      <c r="X25" s="13">
        <f>'Recurring Cost'!M4</f>
        <v>0</v>
      </c>
      <c r="Y25" s="13"/>
      <c r="Z25" s="13">
        <f>'Recurring Cost'!N4</f>
        <v>0</v>
      </c>
      <c r="AA25" s="13"/>
    </row>
    <row r="26" spans="1:27">
      <c r="A26" s="20" t="s">
        <v>6</v>
      </c>
      <c r="B26" s="13">
        <f t="shared" si="0"/>
        <v>8671.7000000000007</v>
      </c>
      <c r="C26" s="13"/>
      <c r="D26" s="13">
        <f>'Recurring Cost'!C8</f>
        <v>6064.24</v>
      </c>
      <c r="E26" s="13"/>
      <c r="F26" s="13">
        <f>'Recurring Cost'!D8</f>
        <v>2607.46</v>
      </c>
      <c r="G26" s="13"/>
      <c r="H26" s="13">
        <f>'Recurring Cost'!E8</f>
        <v>0</v>
      </c>
      <c r="I26" s="13"/>
      <c r="J26" s="13">
        <f>'Recurring Cost'!F8</f>
        <v>0</v>
      </c>
      <c r="K26" s="13"/>
      <c r="L26" s="13">
        <f>'Recurring Cost'!G8</f>
        <v>0</v>
      </c>
      <c r="M26" s="13"/>
      <c r="N26" s="13">
        <f>'Recurring Cost'!H8</f>
        <v>0</v>
      </c>
      <c r="O26" s="13"/>
      <c r="P26" s="13">
        <f>'Recurring Cost'!I8</f>
        <v>0</v>
      </c>
      <c r="Q26" s="13"/>
      <c r="R26" s="13">
        <f>'Recurring Cost'!J8</f>
        <v>0</v>
      </c>
      <c r="S26" s="13"/>
      <c r="T26" s="13">
        <f>'Recurring Cost'!K8</f>
        <v>0</v>
      </c>
      <c r="U26" s="13"/>
      <c r="V26" s="13">
        <f>'Recurring Cost'!L8</f>
        <v>0</v>
      </c>
      <c r="W26" s="13"/>
      <c r="X26" s="13">
        <f>'Recurring Cost'!M8</f>
        <v>0</v>
      </c>
      <c r="Y26" s="13"/>
      <c r="Z26" s="13">
        <f>'Recurring Cost'!N8</f>
        <v>0</v>
      </c>
      <c r="AA26" s="13"/>
    </row>
    <row r="27" spans="1:27">
      <c r="A27" s="19" t="s">
        <v>134</v>
      </c>
      <c r="B27" s="13">
        <f t="shared" si="0"/>
        <v>1810</v>
      </c>
      <c r="C27" s="13"/>
      <c r="D27" s="13">
        <f>'Recurring Cost'!C16</f>
        <v>230</v>
      </c>
      <c r="E27" s="13"/>
      <c r="F27" s="13">
        <f>'Recurring Cost'!D16</f>
        <v>1580</v>
      </c>
      <c r="G27" s="13"/>
      <c r="H27" s="13">
        <f>'Recurring Cost'!E16</f>
        <v>0</v>
      </c>
      <c r="I27" s="13"/>
      <c r="J27" s="13">
        <f>'Recurring Cost'!F16</f>
        <v>0</v>
      </c>
      <c r="K27" s="13"/>
      <c r="L27" s="13">
        <f>'Recurring Cost'!G16</f>
        <v>0</v>
      </c>
      <c r="M27" s="13"/>
      <c r="N27" s="13">
        <f>'Recurring Cost'!H16</f>
        <v>0</v>
      </c>
      <c r="O27" s="13"/>
      <c r="P27" s="13">
        <f>'Recurring Cost'!I16</f>
        <v>0</v>
      </c>
      <c r="Q27" s="13"/>
      <c r="R27" s="13">
        <f>'Recurring Cost'!J16</f>
        <v>0</v>
      </c>
      <c r="S27" s="13"/>
      <c r="T27" s="13">
        <f>'Recurring Cost'!K16</f>
        <v>0</v>
      </c>
      <c r="U27" s="13"/>
      <c r="V27" s="13">
        <f>'Recurring Cost'!L16</f>
        <v>0</v>
      </c>
      <c r="W27" s="13"/>
      <c r="X27" s="13">
        <f>'Recurring Cost'!M16</f>
        <v>0</v>
      </c>
      <c r="Y27" s="13"/>
      <c r="Z27" s="13">
        <f>'Recurring Cost'!N16</f>
        <v>0</v>
      </c>
      <c r="AA27" s="13"/>
    </row>
    <row r="28" spans="1:27">
      <c r="A28" s="19" t="s">
        <v>133</v>
      </c>
      <c r="B28" s="13">
        <f t="shared" si="0"/>
        <v>2387.5</v>
      </c>
      <c r="C28" s="13"/>
      <c r="D28" s="13">
        <f>'Recurring Cost'!C28</f>
        <v>2287.5</v>
      </c>
      <c r="E28" s="13"/>
      <c r="F28" s="13">
        <f>'Recurring Cost'!D28</f>
        <v>100</v>
      </c>
      <c r="G28" s="13"/>
      <c r="H28" s="13">
        <f>'Recurring Cost'!E28</f>
        <v>0</v>
      </c>
      <c r="I28" s="13"/>
      <c r="J28" s="13">
        <f>'Recurring Cost'!F28</f>
        <v>0</v>
      </c>
      <c r="K28" s="13"/>
      <c r="L28" s="13">
        <f>'Recurring Cost'!G28</f>
        <v>0</v>
      </c>
      <c r="M28" s="13"/>
      <c r="N28" s="13">
        <f>'Recurring Cost'!H28</f>
        <v>0</v>
      </c>
      <c r="O28" s="13"/>
      <c r="P28" s="13">
        <f>'Recurring Cost'!I28</f>
        <v>0</v>
      </c>
      <c r="Q28" s="13"/>
      <c r="R28" s="13">
        <f>'Recurring Cost'!J28</f>
        <v>0</v>
      </c>
      <c r="S28" s="13"/>
      <c r="T28" s="13">
        <f>'Recurring Cost'!K28</f>
        <v>0</v>
      </c>
      <c r="U28" s="13"/>
      <c r="V28" s="13">
        <f>'Recurring Cost'!L28</f>
        <v>0</v>
      </c>
      <c r="W28" s="13"/>
      <c r="X28" s="13">
        <f>'Recurring Cost'!M28</f>
        <v>0</v>
      </c>
      <c r="Y28" s="13"/>
      <c r="Z28" s="13">
        <f>'Recurring Cost'!N28</f>
        <v>0</v>
      </c>
      <c r="AA28" s="13"/>
    </row>
    <row r="29" spans="1:27">
      <c r="A29" s="19" t="s">
        <v>132</v>
      </c>
      <c r="B29" s="13">
        <f t="shared" si="0"/>
        <v>5240</v>
      </c>
      <c r="C29" s="13"/>
      <c r="D29" s="13">
        <f>'Recurring Cost'!C39</f>
        <v>2500</v>
      </c>
      <c r="E29" s="13"/>
      <c r="F29" s="13">
        <f>'Recurring Cost'!D39</f>
        <v>2740</v>
      </c>
      <c r="G29" s="13"/>
      <c r="H29" s="13">
        <f>'Recurring Cost'!E39</f>
        <v>0</v>
      </c>
      <c r="I29" s="13"/>
      <c r="J29" s="13">
        <f>'Recurring Cost'!F39</f>
        <v>0</v>
      </c>
      <c r="K29" s="13"/>
      <c r="L29" s="13">
        <f>'Recurring Cost'!G39</f>
        <v>0</v>
      </c>
      <c r="M29" s="13"/>
      <c r="N29" s="13">
        <f>'Recurring Cost'!H39</f>
        <v>0</v>
      </c>
      <c r="O29" s="13"/>
      <c r="P29" s="13">
        <f>'Recurring Cost'!I39</f>
        <v>0</v>
      </c>
      <c r="Q29" s="13"/>
      <c r="R29" s="13">
        <f>'Recurring Cost'!J39</f>
        <v>0</v>
      </c>
      <c r="S29" s="13"/>
      <c r="T29" s="13">
        <f>'Recurring Cost'!K39</f>
        <v>0</v>
      </c>
      <c r="U29" s="13"/>
      <c r="V29" s="13">
        <f>'Recurring Cost'!L39</f>
        <v>0</v>
      </c>
      <c r="W29" s="13"/>
      <c r="X29" s="13">
        <f>'Recurring Cost'!M39</f>
        <v>0</v>
      </c>
      <c r="Y29" s="13"/>
      <c r="Z29" s="13">
        <f>'Recurring Cost'!N39</f>
        <v>0</v>
      </c>
      <c r="AA29" s="13"/>
    </row>
    <row r="30" spans="1:27">
      <c r="A30" s="19" t="s">
        <v>8</v>
      </c>
      <c r="B30" s="13">
        <f t="shared" si="0"/>
        <v>3628.53</v>
      </c>
      <c r="C30" s="13"/>
      <c r="D30" s="64">
        <f>'Recurring Cost'!C45</f>
        <v>2385.2400000000002</v>
      </c>
      <c r="E30" s="13"/>
      <c r="F30" s="64">
        <f>'Recurring Cost'!D45</f>
        <v>1243.29</v>
      </c>
      <c r="G30" s="13"/>
      <c r="H30" s="13">
        <f>'Recurring Cost'!E45</f>
        <v>0</v>
      </c>
      <c r="I30" s="13"/>
      <c r="J30" s="13">
        <f>'Recurring Cost'!F45</f>
        <v>0</v>
      </c>
      <c r="K30" s="13"/>
      <c r="L30" s="13">
        <f>'Recurring Cost'!G45</f>
        <v>0</v>
      </c>
      <c r="M30" s="13"/>
      <c r="N30" s="13">
        <f>'Recurring Cost'!H45</f>
        <v>0</v>
      </c>
      <c r="O30" s="13"/>
      <c r="P30" s="13">
        <f>'Recurring Cost'!I45</f>
        <v>0</v>
      </c>
      <c r="Q30" s="13"/>
      <c r="R30" s="13">
        <f>'Recurring Cost'!J45</f>
        <v>0</v>
      </c>
      <c r="S30" s="13"/>
      <c r="T30" s="13">
        <f>'Recurring Cost'!K45</f>
        <v>0</v>
      </c>
      <c r="U30" s="13"/>
      <c r="V30" s="13">
        <f>'Recurring Cost'!L45</f>
        <v>0</v>
      </c>
      <c r="W30" s="13"/>
      <c r="X30" s="13">
        <f>'Recurring Cost'!M45</f>
        <v>0</v>
      </c>
      <c r="Y30" s="13"/>
      <c r="Z30" s="13">
        <f>'Recurring Cost'!N45</f>
        <v>0</v>
      </c>
      <c r="AA30" s="13"/>
    </row>
    <row r="31" spans="1:27">
      <c r="A31" s="20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s="29" customFormat="1" ht="13">
      <c r="A32" s="58" t="s">
        <v>60</v>
      </c>
      <c r="B32" s="59"/>
      <c r="C32" s="59">
        <f>SUM(B24:B30)</f>
        <v>53153.39</v>
      </c>
      <c r="D32" s="59"/>
      <c r="E32" s="59">
        <f>SUM(D24:D30)</f>
        <v>26644.640000000003</v>
      </c>
      <c r="F32" s="59"/>
      <c r="G32" s="59">
        <f>SUM(F24:F30)</f>
        <v>26508.75</v>
      </c>
      <c r="H32" s="59"/>
      <c r="I32" s="59">
        <f>SUM(H24:H30)</f>
        <v>0</v>
      </c>
      <c r="J32" s="59"/>
      <c r="K32" s="59">
        <f>SUM(J24:J30)</f>
        <v>0</v>
      </c>
      <c r="L32" s="59"/>
      <c r="M32" s="59">
        <f>SUM(L24:L30)</f>
        <v>0</v>
      </c>
      <c r="N32" s="59"/>
      <c r="O32" s="59">
        <f>SUM(N24:N30)</f>
        <v>0</v>
      </c>
      <c r="P32" s="59"/>
      <c r="Q32" s="59">
        <f>SUM(P24:P30)</f>
        <v>0</v>
      </c>
      <c r="R32" s="59"/>
      <c r="S32" s="59">
        <f>SUM(R24:R30)</f>
        <v>0</v>
      </c>
      <c r="T32" s="59"/>
      <c r="U32" s="59">
        <f>SUM(T24:T30)</f>
        <v>0</v>
      </c>
      <c r="V32" s="59"/>
      <c r="W32" s="59">
        <f>SUM(V24:V30)</f>
        <v>0</v>
      </c>
      <c r="X32" s="59"/>
      <c r="Y32" s="59">
        <f>SUM(X24:X30)</f>
        <v>0</v>
      </c>
      <c r="Z32" s="59"/>
      <c r="AA32" s="59">
        <f>SUM(Z24:Z30)</f>
        <v>0</v>
      </c>
    </row>
    <row r="33" spans="1:27" ht="7.5" customHeight="1">
      <c r="A33" s="20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3">
      <c r="A34" s="22" t="s">
        <v>61</v>
      </c>
      <c r="B34" s="16"/>
      <c r="C34" s="16">
        <f>C21-C32</f>
        <v>3347.6700000000055</v>
      </c>
      <c r="D34" s="16"/>
      <c r="E34" s="16">
        <f>E21-E32</f>
        <v>6903.6000000000022</v>
      </c>
      <c r="F34" s="16"/>
      <c r="G34" s="16">
        <f>G21-G32</f>
        <v>-3555.9300000000003</v>
      </c>
      <c r="H34" s="16"/>
      <c r="I34" s="16">
        <f>I21-I32</f>
        <v>0</v>
      </c>
      <c r="J34" s="16"/>
      <c r="K34" s="16">
        <f>K21-K32</f>
        <v>0</v>
      </c>
      <c r="L34" s="16"/>
      <c r="M34" s="16">
        <f>M21-M32</f>
        <v>0</v>
      </c>
      <c r="N34" s="16"/>
      <c r="O34" s="16">
        <f>O21-O32</f>
        <v>0</v>
      </c>
      <c r="P34" s="16"/>
      <c r="Q34" s="16">
        <f>Q21-Q32</f>
        <v>0</v>
      </c>
      <c r="R34" s="16"/>
      <c r="S34" s="16">
        <f>S21-S32</f>
        <v>0</v>
      </c>
      <c r="T34" s="16"/>
      <c r="U34" s="16">
        <f>U21-U32</f>
        <v>0</v>
      </c>
      <c r="V34" s="16"/>
      <c r="W34" s="16">
        <f>W21-W32</f>
        <v>0</v>
      </c>
      <c r="X34" s="16"/>
      <c r="Y34" s="16">
        <f>Y21-Y32</f>
        <v>0</v>
      </c>
      <c r="Z34" s="16"/>
      <c r="AA34" s="16">
        <f>AA21-AA32</f>
        <v>0</v>
      </c>
    </row>
    <row r="35" spans="1:27">
      <c r="A35" s="20" t="s">
        <v>7</v>
      </c>
      <c r="B35" s="13">
        <v>0</v>
      </c>
      <c r="C35" s="13"/>
      <c r="D35" s="13">
        <v>0</v>
      </c>
      <c r="E35" s="13"/>
      <c r="F35" s="13">
        <v>0</v>
      </c>
      <c r="G35" s="13"/>
      <c r="H35" s="13">
        <v>0</v>
      </c>
      <c r="I35" s="13"/>
      <c r="J35" s="13">
        <v>0</v>
      </c>
      <c r="K35" s="13"/>
      <c r="L35" s="13">
        <v>0</v>
      </c>
      <c r="M35" s="13"/>
      <c r="N35" s="13">
        <v>0</v>
      </c>
      <c r="O35" s="13"/>
      <c r="P35" s="13">
        <v>0</v>
      </c>
      <c r="Q35" s="13"/>
      <c r="R35" s="13">
        <v>0</v>
      </c>
      <c r="S35" s="13"/>
      <c r="T35" s="13">
        <v>0</v>
      </c>
      <c r="U35" s="13"/>
      <c r="V35" s="13">
        <v>0</v>
      </c>
      <c r="W35" s="13"/>
      <c r="X35" s="13">
        <v>0</v>
      </c>
      <c r="Y35" s="13"/>
      <c r="Z35" s="13">
        <v>0</v>
      </c>
      <c r="AA35" s="13"/>
    </row>
    <row r="36" spans="1:27">
      <c r="A36" s="20" t="s">
        <v>8</v>
      </c>
      <c r="B36" s="13">
        <v>0</v>
      </c>
      <c r="C36" s="13"/>
      <c r="D36" s="13">
        <v>0</v>
      </c>
      <c r="E36" s="13"/>
      <c r="F36" s="13">
        <v>0</v>
      </c>
      <c r="G36" s="13"/>
      <c r="H36" s="13">
        <v>0</v>
      </c>
      <c r="I36" s="13"/>
      <c r="J36" s="13">
        <v>0</v>
      </c>
      <c r="K36" s="13"/>
      <c r="L36" s="13">
        <v>0</v>
      </c>
      <c r="M36" s="13"/>
      <c r="N36" s="13">
        <v>0</v>
      </c>
      <c r="O36" s="13"/>
      <c r="P36" s="13">
        <v>0</v>
      </c>
      <c r="Q36" s="13"/>
      <c r="R36" s="13">
        <v>0</v>
      </c>
      <c r="S36" s="13"/>
      <c r="T36" s="13">
        <v>0</v>
      </c>
      <c r="U36" s="13"/>
      <c r="V36" s="13">
        <v>0</v>
      </c>
      <c r="W36" s="13"/>
      <c r="X36" s="13">
        <v>0</v>
      </c>
      <c r="Y36" s="13"/>
      <c r="Z36" s="13">
        <v>0</v>
      </c>
      <c r="AA36" s="13"/>
    </row>
    <row r="37" spans="1:27">
      <c r="A37" s="19" t="s">
        <v>63</v>
      </c>
      <c r="B37" s="13"/>
      <c r="C37" s="13">
        <f>SUM(B35:B36)</f>
        <v>0</v>
      </c>
      <c r="D37" s="13"/>
      <c r="E37" s="13">
        <f>SUM(D35:D36)</f>
        <v>0</v>
      </c>
      <c r="F37" s="13"/>
      <c r="G37" s="13">
        <f>SUM(F35:F36)</f>
        <v>0</v>
      </c>
      <c r="H37" s="13"/>
      <c r="I37" s="13">
        <f>SUM(H35:H36)</f>
        <v>0</v>
      </c>
      <c r="J37" s="13"/>
      <c r="K37" s="13">
        <f>SUM(J35:J36)</f>
        <v>0</v>
      </c>
      <c r="L37" s="13"/>
      <c r="M37" s="13">
        <f>SUM(L35:L36)</f>
        <v>0</v>
      </c>
      <c r="N37" s="13"/>
      <c r="O37" s="13">
        <f>SUM(N35:N36)</f>
        <v>0</v>
      </c>
      <c r="P37" s="13"/>
      <c r="Q37" s="13">
        <f>SUM(P35:P36)</f>
        <v>0</v>
      </c>
      <c r="R37" s="13"/>
      <c r="S37" s="13">
        <f>SUM(R35:R36)</f>
        <v>0</v>
      </c>
      <c r="T37" s="13"/>
      <c r="U37" s="13">
        <f>SUM(T35:T36)</f>
        <v>0</v>
      </c>
      <c r="V37" s="13"/>
      <c r="W37" s="13">
        <f>SUM(V35:V36)</f>
        <v>0</v>
      </c>
      <c r="X37" s="13"/>
      <c r="Y37" s="13">
        <f>SUM(X35:X36)</f>
        <v>0</v>
      </c>
      <c r="Z37" s="13"/>
      <c r="AA37" s="13">
        <f>SUM(Z35:Z36)</f>
        <v>0</v>
      </c>
    </row>
    <row r="38" spans="1:27" ht="7" customHeight="1">
      <c r="A38" s="20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3">
      <c r="A39" s="23" t="s">
        <v>62</v>
      </c>
      <c r="B39" s="17">
        <f>SUM(B34:B36)</f>
        <v>0</v>
      </c>
      <c r="C39" s="17">
        <f>C34-C37</f>
        <v>3347.6700000000055</v>
      </c>
      <c r="D39" s="17">
        <f>SUM(D34:D36)</f>
        <v>0</v>
      </c>
      <c r="E39" s="17">
        <f>E34-E37</f>
        <v>6903.6000000000022</v>
      </c>
      <c r="F39" s="17">
        <f>SUM(F34:F36)</f>
        <v>0</v>
      </c>
      <c r="G39" s="17">
        <f>G34-G37</f>
        <v>-3555.9300000000003</v>
      </c>
      <c r="H39" s="17">
        <f>SUM(H34:H36)</f>
        <v>0</v>
      </c>
      <c r="I39" s="17">
        <f>I34-I37</f>
        <v>0</v>
      </c>
      <c r="J39" s="17">
        <f>SUM(J34:J36)</f>
        <v>0</v>
      </c>
      <c r="K39" s="17">
        <f>K34-K37</f>
        <v>0</v>
      </c>
      <c r="L39" s="17">
        <f>SUM(L34:L36)</f>
        <v>0</v>
      </c>
      <c r="M39" s="17">
        <f>M34-M37</f>
        <v>0</v>
      </c>
      <c r="N39" s="17">
        <f>SUM(N34:N36)</f>
        <v>0</v>
      </c>
      <c r="O39" s="17">
        <f>O34-O37</f>
        <v>0</v>
      </c>
      <c r="P39" s="17">
        <f>SUM(P34:P36)</f>
        <v>0</v>
      </c>
      <c r="Q39" s="17">
        <f>Q34-Q37</f>
        <v>0</v>
      </c>
      <c r="R39" s="17">
        <f>SUM(R34:R36)</f>
        <v>0</v>
      </c>
      <c r="S39" s="17">
        <f>S34-S37</f>
        <v>0</v>
      </c>
      <c r="T39" s="17">
        <f>SUM(T34:T36)</f>
        <v>0</v>
      </c>
      <c r="U39" s="17">
        <f>U34-U37</f>
        <v>0</v>
      </c>
      <c r="V39" s="17">
        <f>SUM(V34:V36)</f>
        <v>0</v>
      </c>
      <c r="W39" s="17">
        <f>W34-W37</f>
        <v>0</v>
      </c>
      <c r="X39" s="17">
        <f>SUM(X34:X36)</f>
        <v>0</v>
      </c>
      <c r="Y39" s="17">
        <f>Y34-Y37</f>
        <v>0</v>
      </c>
      <c r="Z39" s="17">
        <f>SUM(Z34:Z36)</f>
        <v>0</v>
      </c>
      <c r="AA39" s="17">
        <f>AA34-AA37</f>
        <v>0</v>
      </c>
    </row>
  </sheetData>
  <mergeCells count="13">
    <mergeCell ref="V1:W1"/>
    <mergeCell ref="X1:Y1"/>
    <mergeCell ref="Z1:AA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r:id="rId1"/>
  <ignoredErrors>
    <ignoredError sqref="F8 D8 C38:G3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9F8C-2D49-4E91-834C-4FCFFEC5781C}">
  <dimension ref="A2:AJ459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2.5"/>
  <cols>
    <col min="1" max="1" width="6.453125" style="11" bestFit="1" customWidth="1"/>
    <col min="2" max="2" width="28.90625" style="11" bestFit="1" customWidth="1"/>
    <col min="3" max="34" width="6.90625" style="11" customWidth="1"/>
    <col min="35" max="35" width="8.08984375" style="11" bestFit="1" customWidth="1"/>
    <col min="36" max="36" width="9.1796875" style="11" bestFit="1" customWidth="1"/>
    <col min="37" max="16384" width="8.7265625" style="11"/>
  </cols>
  <sheetData>
    <row r="2" spans="1:35" ht="13">
      <c r="A2" s="30" t="s">
        <v>64</v>
      </c>
      <c r="B2" s="31" t="s">
        <v>65</v>
      </c>
      <c r="C2" s="31">
        <v>1</v>
      </c>
      <c r="D2" s="31">
        <v>2</v>
      </c>
      <c r="E2" s="31">
        <v>3</v>
      </c>
      <c r="F2" s="31">
        <v>4</v>
      </c>
      <c r="G2" s="31">
        <v>5</v>
      </c>
      <c r="H2" s="31">
        <v>6</v>
      </c>
      <c r="I2" s="31">
        <v>7</v>
      </c>
      <c r="J2" s="31">
        <v>8</v>
      </c>
      <c r="K2" s="31">
        <v>9</v>
      </c>
      <c r="L2" s="31">
        <v>10</v>
      </c>
      <c r="M2" s="31">
        <v>11</v>
      </c>
      <c r="N2" s="31">
        <v>12</v>
      </c>
      <c r="O2" s="31">
        <v>13</v>
      </c>
      <c r="P2" s="31">
        <v>14</v>
      </c>
      <c r="Q2" s="31">
        <v>15</v>
      </c>
      <c r="R2" s="31">
        <v>16</v>
      </c>
      <c r="S2" s="31">
        <v>17</v>
      </c>
      <c r="T2" s="31">
        <v>18</v>
      </c>
      <c r="U2" s="31">
        <v>19</v>
      </c>
      <c r="V2" s="31">
        <v>20</v>
      </c>
      <c r="W2" s="31">
        <v>21</v>
      </c>
      <c r="X2" s="31">
        <v>22</v>
      </c>
      <c r="Y2" s="31">
        <v>23</v>
      </c>
      <c r="Z2" s="31">
        <v>24</v>
      </c>
      <c r="AA2" s="31">
        <v>25</v>
      </c>
      <c r="AB2" s="31">
        <v>26</v>
      </c>
      <c r="AC2" s="31">
        <v>27</v>
      </c>
      <c r="AD2" s="31">
        <v>28</v>
      </c>
      <c r="AE2" s="31">
        <v>29</v>
      </c>
      <c r="AF2" s="31">
        <v>30</v>
      </c>
      <c r="AG2" s="31">
        <v>31</v>
      </c>
      <c r="AH2" s="31" t="s">
        <v>66</v>
      </c>
      <c r="AI2" s="32" t="s">
        <v>67</v>
      </c>
    </row>
    <row r="3" spans="1:35" ht="13">
      <c r="A3" s="33"/>
      <c r="B3" s="34" t="s">
        <v>70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6">
        <f>SUM(C3:AH3)</f>
        <v>0</v>
      </c>
    </row>
    <row r="4" spans="1:35">
      <c r="A4" s="10">
        <v>1</v>
      </c>
      <c r="B4" s="11" t="s">
        <v>35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>
        <v>3578.65</v>
      </c>
      <c r="AI4" s="36">
        <f>SUM(C4:AH4)</f>
        <v>3578.65</v>
      </c>
    </row>
    <row r="5" spans="1:35">
      <c r="A5" s="10">
        <v>2</v>
      </c>
      <c r="B5" s="11" t="s">
        <v>44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>
        <v>1975.74</v>
      </c>
      <c r="AI5" s="36">
        <f t="shared" ref="AI5:AI33" si="0">SUM(C5:AH5)</f>
        <v>1975.74</v>
      </c>
    </row>
    <row r="6" spans="1:35">
      <c r="A6" s="10">
        <v>3</v>
      </c>
      <c r="B6" s="11" t="s">
        <v>43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>
        <v>1351.35</v>
      </c>
      <c r="AI6" s="36">
        <f t="shared" si="0"/>
        <v>1351.35</v>
      </c>
    </row>
    <row r="7" spans="1:35">
      <c r="A7" s="10">
        <v>4</v>
      </c>
      <c r="B7" s="11" t="s">
        <v>30</v>
      </c>
      <c r="C7" s="43"/>
      <c r="D7" s="43">
        <v>12</v>
      </c>
      <c r="E7" s="43">
        <v>14</v>
      </c>
      <c r="F7" s="43">
        <v>50</v>
      </c>
      <c r="G7" s="43"/>
      <c r="H7" s="43"/>
      <c r="I7" s="43"/>
      <c r="J7" s="43"/>
      <c r="K7" s="43"/>
      <c r="L7" s="43">
        <v>18.25</v>
      </c>
      <c r="M7" s="43">
        <v>50</v>
      </c>
      <c r="N7" s="43"/>
      <c r="O7" s="43"/>
      <c r="P7" s="43"/>
      <c r="Q7" s="43"/>
      <c r="R7" s="43"/>
      <c r="S7" s="43"/>
      <c r="T7" s="43">
        <v>19</v>
      </c>
      <c r="U7" s="43"/>
      <c r="V7" s="43">
        <v>3.25</v>
      </c>
      <c r="W7" s="43"/>
      <c r="X7" s="43">
        <v>110</v>
      </c>
      <c r="Y7" s="43">
        <v>224.75</v>
      </c>
      <c r="Z7" s="43">
        <v>236.5</v>
      </c>
      <c r="AA7" s="43">
        <v>50</v>
      </c>
      <c r="AB7" s="43">
        <v>40.5</v>
      </c>
      <c r="AC7" s="43"/>
      <c r="AD7" s="43"/>
      <c r="AE7" s="43"/>
      <c r="AF7" s="43"/>
      <c r="AG7" s="43"/>
      <c r="AH7" s="43"/>
      <c r="AI7" s="36">
        <f t="shared" si="0"/>
        <v>828.25</v>
      </c>
    </row>
    <row r="8" spans="1:35">
      <c r="A8" s="10">
        <v>5</v>
      </c>
      <c r="B8" s="11" t="s">
        <v>32</v>
      </c>
      <c r="C8" s="43"/>
      <c r="D8" s="43"/>
      <c r="E8" s="43">
        <v>12</v>
      </c>
      <c r="F8" s="43"/>
      <c r="G8" s="43"/>
      <c r="H8" s="43"/>
      <c r="I8" s="43"/>
      <c r="J8" s="43"/>
      <c r="K8" s="43">
        <v>22</v>
      </c>
      <c r="L8" s="43">
        <v>10</v>
      </c>
      <c r="M8" s="43">
        <v>16</v>
      </c>
      <c r="N8" s="43"/>
      <c r="O8" s="43"/>
      <c r="P8" s="43"/>
      <c r="Q8" s="43"/>
      <c r="R8" s="43"/>
      <c r="S8" s="43"/>
      <c r="T8" s="43"/>
      <c r="U8" s="43"/>
      <c r="V8" s="43">
        <v>10</v>
      </c>
      <c r="W8" s="43"/>
      <c r="X8" s="43">
        <v>200</v>
      </c>
      <c r="Y8" s="43">
        <v>116</v>
      </c>
      <c r="Z8" s="43">
        <v>181.75</v>
      </c>
      <c r="AA8" s="43"/>
      <c r="AB8" s="43"/>
      <c r="AC8" s="43"/>
      <c r="AD8" s="43">
        <v>10</v>
      </c>
      <c r="AE8" s="43"/>
      <c r="AF8" s="43"/>
      <c r="AG8" s="43"/>
      <c r="AH8" s="43"/>
      <c r="AI8" s="36">
        <f t="shared" si="0"/>
        <v>577.75</v>
      </c>
    </row>
    <row r="9" spans="1:35">
      <c r="A9" s="10">
        <v>6</v>
      </c>
      <c r="B9" s="11" t="s">
        <v>29</v>
      </c>
      <c r="C9" s="43">
        <v>142</v>
      </c>
      <c r="D9" s="43">
        <v>46.25</v>
      </c>
      <c r="E9" s="43"/>
      <c r="F9" s="43"/>
      <c r="G9" s="43"/>
      <c r="H9" s="43">
        <v>18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>
        <v>46.25</v>
      </c>
      <c r="V9" s="43"/>
      <c r="W9" s="43"/>
      <c r="X9" s="43">
        <v>139</v>
      </c>
      <c r="Y9" s="43"/>
      <c r="Z9" s="43"/>
      <c r="AA9" s="43"/>
      <c r="AB9" s="43"/>
      <c r="AC9" s="43">
        <v>142</v>
      </c>
      <c r="AD9" s="43"/>
      <c r="AE9" s="43"/>
      <c r="AF9" s="43"/>
      <c r="AG9" s="43"/>
      <c r="AH9" s="43"/>
      <c r="AI9" s="36">
        <f t="shared" si="0"/>
        <v>533.5</v>
      </c>
    </row>
    <row r="10" spans="1:35">
      <c r="A10" s="10">
        <v>7</v>
      </c>
      <c r="B10" s="11" t="s">
        <v>36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>
        <v>395</v>
      </c>
      <c r="AI10" s="36">
        <f t="shared" si="0"/>
        <v>395</v>
      </c>
    </row>
    <row r="11" spans="1:35">
      <c r="A11" s="10">
        <v>8</v>
      </c>
      <c r="B11" s="11" t="s">
        <v>42</v>
      </c>
      <c r="C11" s="43">
        <v>34.25</v>
      </c>
      <c r="D11" s="43">
        <v>34.25</v>
      </c>
      <c r="E11" s="43"/>
      <c r="F11" s="43"/>
      <c r="G11" s="43"/>
      <c r="H11" s="43"/>
      <c r="I11" s="43"/>
      <c r="J11" s="43"/>
      <c r="K11" s="43">
        <v>34.25</v>
      </c>
      <c r="L11" s="43"/>
      <c r="M11" s="43">
        <v>34.25</v>
      </c>
      <c r="N11" s="43"/>
      <c r="O11" s="43"/>
      <c r="P11" s="43">
        <v>34.25</v>
      </c>
      <c r="Q11" s="43"/>
      <c r="R11" s="43"/>
      <c r="S11" s="43"/>
      <c r="T11" s="43">
        <v>34.25</v>
      </c>
      <c r="U11" s="43"/>
      <c r="V11" s="43"/>
      <c r="W11" s="43">
        <v>34.25</v>
      </c>
      <c r="X11" s="43"/>
      <c r="Y11" s="43">
        <v>34.25</v>
      </c>
      <c r="Z11" s="43">
        <v>34.25</v>
      </c>
      <c r="AA11" s="43"/>
      <c r="AB11" s="43"/>
      <c r="AC11" s="43"/>
      <c r="AD11" s="43"/>
      <c r="AE11" s="43">
        <v>34.25</v>
      </c>
      <c r="AF11" s="43"/>
      <c r="AG11" s="43">
        <v>34.25</v>
      </c>
      <c r="AH11" s="43"/>
      <c r="AI11" s="36">
        <f t="shared" si="0"/>
        <v>376.75</v>
      </c>
    </row>
    <row r="12" spans="1:35">
      <c r="A12" s="10">
        <v>9</v>
      </c>
      <c r="B12" s="11" t="s">
        <v>34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>
        <v>349.7</v>
      </c>
      <c r="AI12" s="36">
        <f t="shared" si="0"/>
        <v>349.7</v>
      </c>
    </row>
    <row r="13" spans="1:35">
      <c r="A13" s="10">
        <v>10</v>
      </c>
      <c r="B13" s="11" t="s">
        <v>41</v>
      </c>
      <c r="C13" s="43">
        <v>47.5</v>
      </c>
      <c r="D13" s="43">
        <v>10.5</v>
      </c>
      <c r="E13" s="43"/>
      <c r="F13" s="43">
        <v>10.5</v>
      </c>
      <c r="G13" s="43"/>
      <c r="H13" s="43">
        <v>34.25</v>
      </c>
      <c r="I13" s="43"/>
      <c r="J13" s="43">
        <v>10.5</v>
      </c>
      <c r="K13" s="43">
        <v>10.5</v>
      </c>
      <c r="L13" s="43"/>
      <c r="M13" s="43">
        <v>10.5</v>
      </c>
      <c r="N13" s="43"/>
      <c r="O13" s="43"/>
      <c r="P13" s="43"/>
      <c r="Q13" s="43"/>
      <c r="R13" s="43">
        <v>10.5</v>
      </c>
      <c r="S13" s="43">
        <v>31.75</v>
      </c>
      <c r="T13" s="43"/>
      <c r="U13" s="43"/>
      <c r="V13" s="43">
        <v>10.5</v>
      </c>
      <c r="W13" s="43">
        <v>10.5</v>
      </c>
      <c r="X13" s="43">
        <v>10.5</v>
      </c>
      <c r="Y13" s="43"/>
      <c r="Z13" s="43">
        <v>10.5</v>
      </c>
      <c r="AA13" s="43">
        <v>10.5</v>
      </c>
      <c r="AB13" s="43"/>
      <c r="AC13" s="43"/>
      <c r="AD13" s="43">
        <v>44.5</v>
      </c>
      <c r="AE13" s="43"/>
      <c r="AF13" s="43"/>
      <c r="AG13" s="43">
        <v>10.5</v>
      </c>
      <c r="AH13" s="43"/>
      <c r="AI13" s="36">
        <f t="shared" si="0"/>
        <v>284</v>
      </c>
    </row>
    <row r="14" spans="1:35">
      <c r="A14" s="10">
        <v>11</v>
      </c>
      <c r="B14" s="11" t="s">
        <v>40</v>
      </c>
      <c r="C14" s="43"/>
      <c r="D14" s="43">
        <v>136.75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>
        <v>140</v>
      </c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36">
        <f t="shared" si="0"/>
        <v>276.75</v>
      </c>
    </row>
    <row r="15" spans="1:35">
      <c r="A15" s="10">
        <v>12</v>
      </c>
      <c r="B15" s="11" t="s">
        <v>31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>
        <v>200.25</v>
      </c>
      <c r="AI15" s="36">
        <f t="shared" si="0"/>
        <v>200.25</v>
      </c>
    </row>
    <row r="16" spans="1:35">
      <c r="A16" s="10">
        <v>13</v>
      </c>
      <c r="B16" s="11" t="s">
        <v>38</v>
      </c>
      <c r="C16" s="43"/>
      <c r="D16" s="43"/>
      <c r="E16" s="43"/>
      <c r="F16" s="43"/>
      <c r="G16" s="43"/>
      <c r="H16" s="43"/>
      <c r="I16" s="43"/>
      <c r="J16" s="43">
        <v>139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36">
        <f t="shared" si="0"/>
        <v>139</v>
      </c>
    </row>
    <row r="17" spans="1:35">
      <c r="A17" s="10">
        <v>14</v>
      </c>
      <c r="B17" s="11" t="s">
        <v>37</v>
      </c>
      <c r="C17" s="43"/>
      <c r="D17" s="43"/>
      <c r="E17" s="43"/>
      <c r="F17" s="43"/>
      <c r="G17" s="43">
        <v>43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>
        <v>43</v>
      </c>
      <c r="AD17" s="43"/>
      <c r="AE17" s="43">
        <v>27</v>
      </c>
      <c r="AF17" s="43"/>
      <c r="AG17" s="43"/>
      <c r="AH17" s="43"/>
      <c r="AI17" s="36">
        <f t="shared" si="0"/>
        <v>113</v>
      </c>
    </row>
    <row r="18" spans="1:35">
      <c r="A18" s="10">
        <v>15</v>
      </c>
      <c r="B18" s="11" t="s">
        <v>39</v>
      </c>
      <c r="C18" s="43"/>
      <c r="D18" s="43"/>
      <c r="E18" s="43"/>
      <c r="F18" s="43"/>
      <c r="G18" s="43"/>
      <c r="H18" s="43"/>
      <c r="I18" s="43"/>
      <c r="J18" s="43"/>
      <c r="K18" s="43">
        <v>37.75</v>
      </c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>
        <v>36.75</v>
      </c>
      <c r="Y18" s="43"/>
      <c r="Z18" s="43"/>
      <c r="AA18" s="43"/>
      <c r="AB18" s="43">
        <v>36.75</v>
      </c>
      <c r="AC18" s="43"/>
      <c r="AD18" s="43"/>
      <c r="AE18" s="43"/>
      <c r="AF18" s="43"/>
      <c r="AG18" s="43"/>
      <c r="AH18" s="43"/>
      <c r="AI18" s="36">
        <f t="shared" si="0"/>
        <v>111.25</v>
      </c>
    </row>
    <row r="19" spans="1:35">
      <c r="A19" s="10">
        <v>16</v>
      </c>
      <c r="B19" s="11" t="s">
        <v>33</v>
      </c>
      <c r="C19" s="43"/>
      <c r="D19" s="43"/>
      <c r="E19" s="43"/>
      <c r="F19" s="43"/>
      <c r="G19" s="43"/>
      <c r="H19" s="43"/>
      <c r="I19" s="43"/>
      <c r="J19" s="43"/>
      <c r="K19" s="43"/>
      <c r="L19" s="43">
        <v>5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36">
        <f t="shared" si="0"/>
        <v>5</v>
      </c>
    </row>
    <row r="20" spans="1:35">
      <c r="A20" s="10">
        <v>17</v>
      </c>
      <c r="B20" s="11" t="s">
        <v>45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>
        <v>3192</v>
      </c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36">
        <f t="shared" si="0"/>
        <v>3192</v>
      </c>
    </row>
    <row r="21" spans="1:35">
      <c r="A21" s="10">
        <v>18</v>
      </c>
      <c r="B21" s="11" t="s">
        <v>46</v>
      </c>
      <c r="C21" s="44"/>
      <c r="D21" s="44"/>
      <c r="E21" s="44"/>
      <c r="F21" s="44"/>
      <c r="G21" s="44"/>
      <c r="H21" s="44"/>
      <c r="I21" s="44"/>
      <c r="J21" s="44"/>
      <c r="K21" s="44">
        <v>705</v>
      </c>
      <c r="L21" s="44"/>
      <c r="M21" s="44"/>
      <c r="N21" s="44"/>
      <c r="O21" s="44"/>
      <c r="P21" s="44">
        <v>636.75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36">
        <f t="shared" si="0"/>
        <v>1341.75</v>
      </c>
    </row>
    <row r="22" spans="1:35">
      <c r="A22" s="50">
        <v>19</v>
      </c>
      <c r="B22" s="11" t="s">
        <v>111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12</v>
      </c>
      <c r="AE22" s="43">
        <v>0</v>
      </c>
      <c r="AF22" s="43">
        <v>0</v>
      </c>
      <c r="AG22" s="43">
        <v>0</v>
      </c>
      <c r="AH22" s="43">
        <v>0</v>
      </c>
      <c r="AI22" s="36">
        <f t="shared" si="0"/>
        <v>12</v>
      </c>
    </row>
    <row r="23" spans="1:35">
      <c r="A23" s="10">
        <v>20</v>
      </c>
      <c r="B23" s="11" t="s">
        <v>112</v>
      </c>
      <c r="C23" s="43"/>
      <c r="D23" s="43">
        <v>5</v>
      </c>
      <c r="E23" s="43"/>
      <c r="F23" s="43">
        <v>80</v>
      </c>
      <c r="G23" s="43"/>
      <c r="H23" s="43">
        <v>20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>
        <v>20</v>
      </c>
      <c r="T23" s="43"/>
      <c r="U23" s="43"/>
      <c r="V23" s="43"/>
      <c r="W23" s="43">
        <v>39</v>
      </c>
      <c r="X23" s="43"/>
      <c r="Y23" s="43"/>
      <c r="Z23" s="43">
        <v>35</v>
      </c>
      <c r="AA23" s="43"/>
      <c r="AB23" s="43"/>
      <c r="AC23" s="43">
        <v>20</v>
      </c>
      <c r="AD23" s="43"/>
      <c r="AE23" s="43"/>
      <c r="AF23" s="43"/>
      <c r="AG23" s="43"/>
      <c r="AH23" s="43"/>
      <c r="AI23" s="36">
        <f t="shared" si="0"/>
        <v>219</v>
      </c>
    </row>
    <row r="24" spans="1:35">
      <c r="A24" s="10">
        <v>21</v>
      </c>
      <c r="B24" s="11" t="s">
        <v>113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>
        <v>200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>
        <v>200</v>
      </c>
      <c r="AH24" s="43"/>
      <c r="AI24" s="36">
        <f t="shared" si="0"/>
        <v>400</v>
      </c>
    </row>
    <row r="25" spans="1:35">
      <c r="A25" s="10">
        <v>22</v>
      </c>
      <c r="B25" s="11" t="s">
        <v>114</v>
      </c>
      <c r="C25" s="43"/>
      <c r="D25" s="43">
        <v>5</v>
      </c>
      <c r="E25" s="43"/>
      <c r="F25" s="43"/>
      <c r="G25" s="43"/>
      <c r="H25" s="43"/>
      <c r="I25" s="43"/>
      <c r="J25" s="43"/>
      <c r="K25" s="43">
        <v>13.5</v>
      </c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>
        <v>20</v>
      </c>
      <c r="AG25" s="43"/>
      <c r="AH25" s="43"/>
      <c r="AI25" s="36">
        <f t="shared" si="0"/>
        <v>38.5</v>
      </c>
    </row>
    <row r="26" spans="1:35">
      <c r="A26" s="10">
        <v>23</v>
      </c>
      <c r="B26" s="11" t="s">
        <v>47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>
        <v>511.25</v>
      </c>
      <c r="S26" s="43"/>
      <c r="T26" s="43"/>
      <c r="U26" s="43"/>
      <c r="V26" s="43"/>
      <c r="W26" s="43"/>
      <c r="X26" s="43">
        <v>2</v>
      </c>
      <c r="Y26" s="43">
        <v>1</v>
      </c>
      <c r="Z26" s="43"/>
      <c r="AA26" s="43"/>
      <c r="AB26" s="43"/>
      <c r="AC26" s="43"/>
      <c r="AD26" s="43"/>
      <c r="AE26" s="43"/>
      <c r="AF26" s="43"/>
      <c r="AG26" s="43"/>
      <c r="AH26" s="43"/>
      <c r="AI26" s="36">
        <f t="shared" si="0"/>
        <v>514.25</v>
      </c>
    </row>
    <row r="27" spans="1:35">
      <c r="A27" s="10">
        <v>24</v>
      </c>
      <c r="B27" s="11" t="s">
        <v>48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>
        <v>294</v>
      </c>
      <c r="Z27" s="43">
        <v>336</v>
      </c>
      <c r="AA27" s="43"/>
      <c r="AB27" s="43"/>
      <c r="AC27" s="43"/>
      <c r="AD27" s="43"/>
      <c r="AE27" s="43"/>
      <c r="AF27" s="43"/>
      <c r="AG27" s="43"/>
      <c r="AH27" s="43"/>
      <c r="AI27" s="36">
        <f t="shared" si="0"/>
        <v>630</v>
      </c>
    </row>
    <row r="28" spans="1:35">
      <c r="A28" s="10">
        <v>25</v>
      </c>
      <c r="B28" s="11" t="s">
        <v>49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>
        <v>70.5</v>
      </c>
      <c r="Z28" s="43"/>
      <c r="AA28" s="43"/>
      <c r="AB28" s="43"/>
      <c r="AC28" s="43"/>
      <c r="AD28" s="43"/>
      <c r="AE28" s="43"/>
      <c r="AF28" s="43"/>
      <c r="AG28" s="43"/>
      <c r="AH28" s="43"/>
      <c r="AI28" s="36">
        <f t="shared" si="0"/>
        <v>70.5</v>
      </c>
    </row>
    <row r="29" spans="1:35">
      <c r="A29" s="10">
        <v>26</v>
      </c>
      <c r="B29" s="11" t="s">
        <v>50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>
        <v>13</v>
      </c>
      <c r="AA29" s="43"/>
      <c r="AB29" s="43"/>
      <c r="AC29" s="43">
        <v>21</v>
      </c>
      <c r="AD29" s="43"/>
      <c r="AE29" s="43"/>
      <c r="AF29" s="43"/>
      <c r="AG29" s="43"/>
      <c r="AH29" s="43"/>
      <c r="AI29" s="36">
        <f t="shared" si="0"/>
        <v>34</v>
      </c>
    </row>
    <row r="30" spans="1:35">
      <c r="A30" s="10">
        <v>27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36">
        <f t="shared" si="0"/>
        <v>0</v>
      </c>
    </row>
    <row r="31" spans="1:35">
      <c r="A31" s="10">
        <v>28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36">
        <f t="shared" si="0"/>
        <v>0</v>
      </c>
    </row>
    <row r="32" spans="1:35">
      <c r="A32" s="10">
        <v>29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36">
        <f t="shared" si="0"/>
        <v>0</v>
      </c>
    </row>
    <row r="33" spans="1:36">
      <c r="A33" s="10">
        <v>30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36">
        <f t="shared" si="0"/>
        <v>0</v>
      </c>
    </row>
    <row r="34" spans="1:36" ht="13">
      <c r="A34" s="33"/>
      <c r="B34" s="34" t="s">
        <v>68</v>
      </c>
      <c r="C34" s="35">
        <f>SUM(C4:C33)</f>
        <v>223.75</v>
      </c>
      <c r="D34" s="35">
        <f t="shared" ref="D34:AI34" si="1">SUM(D4:D33)</f>
        <v>249.75</v>
      </c>
      <c r="E34" s="35">
        <f t="shared" si="1"/>
        <v>26</v>
      </c>
      <c r="F34" s="35">
        <f t="shared" si="1"/>
        <v>140.5</v>
      </c>
      <c r="G34" s="35">
        <f t="shared" si="1"/>
        <v>43</v>
      </c>
      <c r="H34" s="35">
        <f t="shared" si="1"/>
        <v>72.25</v>
      </c>
      <c r="I34" s="35">
        <f t="shared" si="1"/>
        <v>0</v>
      </c>
      <c r="J34" s="35">
        <f t="shared" si="1"/>
        <v>149.5</v>
      </c>
      <c r="K34" s="35">
        <f t="shared" si="1"/>
        <v>823</v>
      </c>
      <c r="L34" s="35">
        <f t="shared" si="1"/>
        <v>33.25</v>
      </c>
      <c r="M34" s="35">
        <f t="shared" si="1"/>
        <v>110.75</v>
      </c>
      <c r="N34" s="35">
        <f t="shared" si="1"/>
        <v>0</v>
      </c>
      <c r="O34" s="35">
        <f t="shared" si="1"/>
        <v>0</v>
      </c>
      <c r="P34" s="35">
        <f t="shared" si="1"/>
        <v>4063</v>
      </c>
      <c r="Q34" s="35">
        <f t="shared" si="1"/>
        <v>0</v>
      </c>
      <c r="R34" s="35">
        <f t="shared" si="1"/>
        <v>521.75</v>
      </c>
      <c r="S34" s="35">
        <f t="shared" si="1"/>
        <v>51.75</v>
      </c>
      <c r="T34" s="35">
        <f t="shared" si="1"/>
        <v>53.25</v>
      </c>
      <c r="U34" s="35">
        <f t="shared" si="1"/>
        <v>46.25</v>
      </c>
      <c r="V34" s="35">
        <f t="shared" si="1"/>
        <v>23.75</v>
      </c>
      <c r="W34" s="35">
        <f t="shared" si="1"/>
        <v>83.75</v>
      </c>
      <c r="X34" s="35">
        <f t="shared" si="1"/>
        <v>638.25</v>
      </c>
      <c r="Y34" s="35">
        <f t="shared" si="1"/>
        <v>740.5</v>
      </c>
      <c r="Z34" s="35">
        <f t="shared" si="1"/>
        <v>847</v>
      </c>
      <c r="AA34" s="35">
        <f t="shared" si="1"/>
        <v>60.5</v>
      </c>
      <c r="AB34" s="35">
        <f t="shared" si="1"/>
        <v>77.25</v>
      </c>
      <c r="AC34" s="35">
        <f t="shared" si="1"/>
        <v>226</v>
      </c>
      <c r="AD34" s="35">
        <f t="shared" si="1"/>
        <v>66.5</v>
      </c>
      <c r="AE34" s="35">
        <f t="shared" si="1"/>
        <v>61.25</v>
      </c>
      <c r="AF34" s="35">
        <f t="shared" si="1"/>
        <v>20</v>
      </c>
      <c r="AG34" s="35">
        <f t="shared" si="1"/>
        <v>244.75</v>
      </c>
      <c r="AH34" s="35">
        <f t="shared" si="1"/>
        <v>7850.69</v>
      </c>
      <c r="AI34" s="36">
        <f t="shared" si="1"/>
        <v>17547.940000000002</v>
      </c>
      <c r="AJ34" s="63"/>
    </row>
    <row r="35" spans="1:36">
      <c r="A35" s="10"/>
      <c r="B35" s="11" t="s">
        <v>69</v>
      </c>
      <c r="C35" s="27">
        <f>C34+C3</f>
        <v>223.75</v>
      </c>
      <c r="D35" s="27">
        <f t="shared" ref="D35:AI35" si="2">D34+D3</f>
        <v>249.75</v>
      </c>
      <c r="E35" s="27">
        <f t="shared" si="2"/>
        <v>26</v>
      </c>
      <c r="F35" s="27">
        <f t="shared" si="2"/>
        <v>140.5</v>
      </c>
      <c r="G35" s="27">
        <f t="shared" si="2"/>
        <v>43</v>
      </c>
      <c r="H35" s="27">
        <f t="shared" si="2"/>
        <v>72.25</v>
      </c>
      <c r="I35" s="27">
        <f t="shared" si="2"/>
        <v>0</v>
      </c>
      <c r="J35" s="27">
        <f t="shared" si="2"/>
        <v>149.5</v>
      </c>
      <c r="K35" s="27">
        <f t="shared" si="2"/>
        <v>823</v>
      </c>
      <c r="L35" s="27">
        <f t="shared" si="2"/>
        <v>33.25</v>
      </c>
      <c r="M35" s="27">
        <f t="shared" si="2"/>
        <v>110.75</v>
      </c>
      <c r="N35" s="27">
        <f t="shared" si="2"/>
        <v>0</v>
      </c>
      <c r="O35" s="27">
        <f t="shared" si="2"/>
        <v>0</v>
      </c>
      <c r="P35" s="27">
        <f t="shared" si="2"/>
        <v>4063</v>
      </c>
      <c r="Q35" s="27">
        <f t="shared" si="2"/>
        <v>0</v>
      </c>
      <c r="R35" s="27">
        <f t="shared" si="2"/>
        <v>521.75</v>
      </c>
      <c r="S35" s="27">
        <f t="shared" si="2"/>
        <v>51.75</v>
      </c>
      <c r="T35" s="27">
        <f t="shared" si="2"/>
        <v>53.25</v>
      </c>
      <c r="U35" s="27">
        <f t="shared" si="2"/>
        <v>46.25</v>
      </c>
      <c r="V35" s="27">
        <f t="shared" si="2"/>
        <v>23.75</v>
      </c>
      <c r="W35" s="27">
        <f t="shared" si="2"/>
        <v>83.75</v>
      </c>
      <c r="X35" s="27">
        <f t="shared" si="2"/>
        <v>638.25</v>
      </c>
      <c r="Y35" s="27">
        <f t="shared" si="2"/>
        <v>740.5</v>
      </c>
      <c r="Z35" s="27">
        <f t="shared" si="2"/>
        <v>847</v>
      </c>
      <c r="AA35" s="27">
        <f t="shared" si="2"/>
        <v>60.5</v>
      </c>
      <c r="AB35" s="27">
        <f t="shared" si="2"/>
        <v>77.25</v>
      </c>
      <c r="AC35" s="27">
        <f t="shared" si="2"/>
        <v>226</v>
      </c>
      <c r="AD35" s="27">
        <f t="shared" si="2"/>
        <v>66.5</v>
      </c>
      <c r="AE35" s="27">
        <f t="shared" si="2"/>
        <v>61.25</v>
      </c>
      <c r="AF35" s="27">
        <f t="shared" si="2"/>
        <v>20</v>
      </c>
      <c r="AG35" s="27">
        <f t="shared" si="2"/>
        <v>244.75</v>
      </c>
      <c r="AH35" s="27">
        <f t="shared" si="2"/>
        <v>7850.69</v>
      </c>
      <c r="AI35" s="38">
        <f t="shared" si="2"/>
        <v>17547.940000000002</v>
      </c>
    </row>
    <row r="36" spans="1:36" ht="13">
      <c r="A36" s="10"/>
      <c r="B36" s="34" t="s">
        <v>72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38">
        <f>SUM(C36:AH36)</f>
        <v>0</v>
      </c>
    </row>
    <row r="37" spans="1:36" ht="5" customHeight="1">
      <c r="A37" s="10"/>
      <c r="AI37" s="39"/>
    </row>
    <row r="38" spans="1:36" ht="13">
      <c r="A38" s="40"/>
      <c r="B38" s="12" t="s">
        <v>71</v>
      </c>
      <c r="C38" s="41">
        <f>C35-C36</f>
        <v>223.75</v>
      </c>
      <c r="D38" s="41">
        <f t="shared" ref="D38:AI38" si="3">D35-D36</f>
        <v>249.75</v>
      </c>
      <c r="E38" s="41">
        <f t="shared" si="3"/>
        <v>26</v>
      </c>
      <c r="F38" s="41">
        <f t="shared" si="3"/>
        <v>140.5</v>
      </c>
      <c r="G38" s="41">
        <f t="shared" si="3"/>
        <v>43</v>
      </c>
      <c r="H38" s="41">
        <f t="shared" si="3"/>
        <v>72.25</v>
      </c>
      <c r="I38" s="41">
        <f t="shared" si="3"/>
        <v>0</v>
      </c>
      <c r="J38" s="41">
        <f t="shared" si="3"/>
        <v>149.5</v>
      </c>
      <c r="K38" s="41">
        <f t="shared" si="3"/>
        <v>823</v>
      </c>
      <c r="L38" s="41">
        <f t="shared" si="3"/>
        <v>33.25</v>
      </c>
      <c r="M38" s="41">
        <f t="shared" si="3"/>
        <v>110.75</v>
      </c>
      <c r="N38" s="41">
        <f t="shared" si="3"/>
        <v>0</v>
      </c>
      <c r="O38" s="41">
        <f t="shared" si="3"/>
        <v>0</v>
      </c>
      <c r="P38" s="41">
        <f t="shared" si="3"/>
        <v>4063</v>
      </c>
      <c r="Q38" s="41">
        <f t="shared" si="3"/>
        <v>0</v>
      </c>
      <c r="R38" s="41">
        <f t="shared" si="3"/>
        <v>521.75</v>
      </c>
      <c r="S38" s="41">
        <f t="shared" si="3"/>
        <v>51.75</v>
      </c>
      <c r="T38" s="41">
        <f t="shared" si="3"/>
        <v>53.25</v>
      </c>
      <c r="U38" s="41">
        <f t="shared" si="3"/>
        <v>46.25</v>
      </c>
      <c r="V38" s="41">
        <f t="shared" si="3"/>
        <v>23.75</v>
      </c>
      <c r="W38" s="41">
        <f t="shared" si="3"/>
        <v>83.75</v>
      </c>
      <c r="X38" s="41">
        <f t="shared" si="3"/>
        <v>638.25</v>
      </c>
      <c r="Y38" s="41">
        <f t="shared" si="3"/>
        <v>740.5</v>
      </c>
      <c r="Z38" s="41">
        <f t="shared" si="3"/>
        <v>847</v>
      </c>
      <c r="AA38" s="41">
        <f t="shared" si="3"/>
        <v>60.5</v>
      </c>
      <c r="AB38" s="41">
        <f t="shared" si="3"/>
        <v>77.25</v>
      </c>
      <c r="AC38" s="41">
        <f t="shared" si="3"/>
        <v>226</v>
      </c>
      <c r="AD38" s="41">
        <f t="shared" si="3"/>
        <v>66.5</v>
      </c>
      <c r="AE38" s="41">
        <f t="shared" si="3"/>
        <v>61.25</v>
      </c>
      <c r="AF38" s="41">
        <f t="shared" si="3"/>
        <v>20</v>
      </c>
      <c r="AG38" s="41">
        <f t="shared" si="3"/>
        <v>244.75</v>
      </c>
      <c r="AH38" s="41">
        <f t="shared" si="3"/>
        <v>7850.69</v>
      </c>
      <c r="AI38" s="42">
        <f t="shared" si="3"/>
        <v>17547.940000000002</v>
      </c>
    </row>
    <row r="39" spans="1:36" ht="8" customHeight="1"/>
    <row r="40" spans="1:36" ht="13">
      <c r="A40" s="33"/>
      <c r="B40" s="34" t="s">
        <v>70</v>
      </c>
      <c r="C40" s="35">
        <f>C36</f>
        <v>0</v>
      </c>
      <c r="D40" s="35">
        <f t="shared" ref="D40:AH40" si="4">D36</f>
        <v>0</v>
      </c>
      <c r="E40" s="35">
        <f t="shared" si="4"/>
        <v>0</v>
      </c>
      <c r="F40" s="35">
        <f t="shared" si="4"/>
        <v>0</v>
      </c>
      <c r="G40" s="35">
        <f t="shared" si="4"/>
        <v>0</v>
      </c>
      <c r="H40" s="35">
        <f t="shared" si="4"/>
        <v>0</v>
      </c>
      <c r="I40" s="35">
        <f t="shared" si="4"/>
        <v>0</v>
      </c>
      <c r="J40" s="35">
        <f t="shared" si="4"/>
        <v>0</v>
      </c>
      <c r="K40" s="35">
        <f t="shared" si="4"/>
        <v>0</v>
      </c>
      <c r="L40" s="35">
        <f t="shared" si="4"/>
        <v>0</v>
      </c>
      <c r="M40" s="35">
        <f t="shared" si="4"/>
        <v>0</v>
      </c>
      <c r="N40" s="35">
        <f t="shared" si="4"/>
        <v>0</v>
      </c>
      <c r="O40" s="35">
        <f t="shared" si="4"/>
        <v>0</v>
      </c>
      <c r="P40" s="35">
        <f t="shared" si="4"/>
        <v>0</v>
      </c>
      <c r="Q40" s="35">
        <f t="shared" si="4"/>
        <v>0</v>
      </c>
      <c r="R40" s="35">
        <f t="shared" si="4"/>
        <v>0</v>
      </c>
      <c r="S40" s="35">
        <f t="shared" si="4"/>
        <v>0</v>
      </c>
      <c r="T40" s="35">
        <f t="shared" si="4"/>
        <v>0</v>
      </c>
      <c r="U40" s="35">
        <f t="shared" si="4"/>
        <v>0</v>
      </c>
      <c r="V40" s="35">
        <f t="shared" si="4"/>
        <v>0</v>
      </c>
      <c r="W40" s="35">
        <f t="shared" si="4"/>
        <v>0</v>
      </c>
      <c r="X40" s="35">
        <f t="shared" si="4"/>
        <v>0</v>
      </c>
      <c r="Y40" s="35">
        <f t="shared" si="4"/>
        <v>0</v>
      </c>
      <c r="Z40" s="35">
        <f t="shared" si="4"/>
        <v>0</v>
      </c>
      <c r="AA40" s="35">
        <f t="shared" si="4"/>
        <v>0</v>
      </c>
      <c r="AB40" s="35">
        <f t="shared" si="4"/>
        <v>0</v>
      </c>
      <c r="AC40" s="35">
        <f t="shared" si="4"/>
        <v>0</v>
      </c>
      <c r="AD40" s="35">
        <f t="shared" si="4"/>
        <v>0</v>
      </c>
      <c r="AE40" s="35">
        <f t="shared" si="4"/>
        <v>0</v>
      </c>
      <c r="AF40" s="35">
        <f t="shared" si="4"/>
        <v>0</v>
      </c>
      <c r="AG40" s="35">
        <f t="shared" si="4"/>
        <v>0</v>
      </c>
      <c r="AH40" s="35">
        <f t="shared" si="4"/>
        <v>0</v>
      </c>
      <c r="AI40" s="36">
        <f>SUM(C40:AH40)</f>
        <v>0</v>
      </c>
    </row>
    <row r="41" spans="1:36">
      <c r="A41" s="10">
        <v>1</v>
      </c>
      <c r="B41" s="11" t="s">
        <v>29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>
        <v>209.75</v>
      </c>
      <c r="P41" s="43">
        <v>27.75</v>
      </c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36">
        <f t="shared" ref="AI41:AI70" si="5">SUM(C41:AH41)</f>
        <v>237.5</v>
      </c>
    </row>
    <row r="42" spans="1:36">
      <c r="A42" s="10">
        <v>2</v>
      </c>
      <c r="B42" s="11" t="s">
        <v>30</v>
      </c>
      <c r="C42" s="43">
        <v>59.75</v>
      </c>
      <c r="D42" s="43">
        <v>30.25</v>
      </c>
      <c r="E42" s="43"/>
      <c r="F42" s="43"/>
      <c r="G42" s="43"/>
      <c r="H42" s="43"/>
      <c r="I42" s="43">
        <v>11</v>
      </c>
      <c r="J42" s="43"/>
      <c r="K42" s="43">
        <v>50</v>
      </c>
      <c r="L42" s="43"/>
      <c r="M42" s="43"/>
      <c r="N42" s="43"/>
      <c r="O42" s="43"/>
      <c r="P42" s="43">
        <v>6</v>
      </c>
      <c r="Q42" s="43">
        <v>36.75</v>
      </c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36">
        <f t="shared" si="5"/>
        <v>193.75</v>
      </c>
    </row>
    <row r="43" spans="1:36">
      <c r="A43" s="10">
        <v>3</v>
      </c>
      <c r="B43" s="11" t="s">
        <v>31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36">
        <f t="shared" si="5"/>
        <v>0</v>
      </c>
    </row>
    <row r="44" spans="1:36">
      <c r="A44" s="10">
        <v>4</v>
      </c>
      <c r="B44" s="11" t="s">
        <v>32</v>
      </c>
      <c r="C44" s="43"/>
      <c r="D44" s="43"/>
      <c r="E44" s="43"/>
      <c r="F44" s="43"/>
      <c r="G44" s="43">
        <v>12</v>
      </c>
      <c r="H44" s="43"/>
      <c r="I44" s="43"/>
      <c r="J44" s="43"/>
      <c r="K44" s="43"/>
      <c r="L44" s="43"/>
      <c r="M44" s="43"/>
      <c r="N44" s="43">
        <v>3</v>
      </c>
      <c r="O44" s="43"/>
      <c r="P44" s="43">
        <v>177.68</v>
      </c>
      <c r="Q44" s="43">
        <v>78</v>
      </c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36">
        <f t="shared" si="5"/>
        <v>270.68</v>
      </c>
    </row>
    <row r="45" spans="1:36">
      <c r="A45" s="10">
        <v>5</v>
      </c>
      <c r="B45" s="11" t="s">
        <v>33</v>
      </c>
      <c r="C45" s="43"/>
      <c r="D45" s="43"/>
      <c r="E45" s="43"/>
      <c r="F45" s="43"/>
      <c r="G45" s="43">
        <v>25</v>
      </c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36">
        <f t="shared" si="5"/>
        <v>25</v>
      </c>
    </row>
    <row r="46" spans="1:36">
      <c r="A46" s="10">
        <v>6</v>
      </c>
      <c r="B46" s="11" t="s">
        <v>34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6">
        <f t="shared" si="5"/>
        <v>0</v>
      </c>
    </row>
    <row r="47" spans="1:36">
      <c r="A47" s="10">
        <v>7</v>
      </c>
      <c r="B47" s="11" t="s">
        <v>35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36">
        <f t="shared" si="5"/>
        <v>0</v>
      </c>
    </row>
    <row r="48" spans="1:36">
      <c r="A48" s="10">
        <v>8</v>
      </c>
      <c r="B48" s="11" t="s">
        <v>36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36">
        <f t="shared" si="5"/>
        <v>0</v>
      </c>
    </row>
    <row r="49" spans="1:35">
      <c r="A49" s="10">
        <v>9</v>
      </c>
      <c r="B49" s="11" t="s">
        <v>37</v>
      </c>
      <c r="C49" s="43"/>
      <c r="D49" s="43"/>
      <c r="E49" s="43"/>
      <c r="F49" s="43"/>
      <c r="G49" s="43"/>
      <c r="H49" s="43"/>
      <c r="I49" s="43">
        <v>48.5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36">
        <f t="shared" si="5"/>
        <v>48.5</v>
      </c>
    </row>
    <row r="50" spans="1:35">
      <c r="A50" s="10">
        <v>10</v>
      </c>
      <c r="B50" s="11" t="s">
        <v>38</v>
      </c>
      <c r="C50" s="43"/>
      <c r="D50" s="43"/>
      <c r="E50" s="43"/>
      <c r="F50" s="43"/>
      <c r="G50" s="43">
        <v>27</v>
      </c>
      <c r="H50" s="43"/>
      <c r="I50" s="43"/>
      <c r="J50" s="43"/>
      <c r="K50" s="43">
        <v>125</v>
      </c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36">
        <f t="shared" si="5"/>
        <v>152</v>
      </c>
    </row>
    <row r="51" spans="1:35">
      <c r="A51" s="10">
        <v>11</v>
      </c>
      <c r="B51" s="11" t="s">
        <v>39</v>
      </c>
      <c r="C51" s="43"/>
      <c r="D51" s="43">
        <v>36.75</v>
      </c>
      <c r="E51" s="43"/>
      <c r="F51" s="43"/>
      <c r="G51" s="43"/>
      <c r="H51" s="43"/>
      <c r="I51" s="43"/>
      <c r="J51" s="43"/>
      <c r="K51" s="43"/>
      <c r="L51" s="43"/>
      <c r="M51" s="43">
        <v>73.5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36">
        <f t="shared" si="5"/>
        <v>110.25</v>
      </c>
    </row>
    <row r="52" spans="1:35">
      <c r="A52" s="10">
        <v>12</v>
      </c>
      <c r="B52" s="11" t="s">
        <v>40</v>
      </c>
      <c r="C52" s="43"/>
      <c r="D52" s="43"/>
      <c r="E52" s="43"/>
      <c r="F52" s="43"/>
      <c r="G52" s="43">
        <v>136.75</v>
      </c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36">
        <f t="shared" si="5"/>
        <v>136.75</v>
      </c>
    </row>
    <row r="53" spans="1:35">
      <c r="A53" s="10">
        <v>13</v>
      </c>
      <c r="B53" s="11" t="s">
        <v>41</v>
      </c>
      <c r="C53" s="43">
        <v>10.5</v>
      </c>
      <c r="D53" s="43">
        <v>10.5</v>
      </c>
      <c r="E53" s="43">
        <v>26.5</v>
      </c>
      <c r="F53" s="43"/>
      <c r="G53" s="43"/>
      <c r="H53" s="43">
        <v>10.5</v>
      </c>
      <c r="I53" s="43">
        <v>10.5</v>
      </c>
      <c r="J53" s="43"/>
      <c r="K53" s="43"/>
      <c r="L53" s="43"/>
      <c r="M53" s="43">
        <v>10.5</v>
      </c>
      <c r="N53" s="43"/>
      <c r="O53" s="43">
        <v>26.5</v>
      </c>
      <c r="P53" s="43">
        <v>137.75</v>
      </c>
      <c r="Q53" s="43">
        <v>16</v>
      </c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36">
        <f t="shared" si="5"/>
        <v>259.25</v>
      </c>
    </row>
    <row r="54" spans="1:35">
      <c r="A54" s="10">
        <v>14</v>
      </c>
      <c r="B54" s="11" t="s">
        <v>42</v>
      </c>
      <c r="C54" s="43"/>
      <c r="D54" s="43">
        <v>34.25</v>
      </c>
      <c r="E54" s="43"/>
      <c r="F54" s="43"/>
      <c r="G54" s="43"/>
      <c r="H54" s="43">
        <v>34.25</v>
      </c>
      <c r="I54" s="43">
        <v>34.25</v>
      </c>
      <c r="J54" s="43"/>
      <c r="K54" s="43"/>
      <c r="L54" s="43"/>
      <c r="M54" s="43">
        <v>34.25</v>
      </c>
      <c r="N54" s="43"/>
      <c r="O54" s="43"/>
      <c r="P54" s="43">
        <v>68.25</v>
      </c>
      <c r="Q54" s="43"/>
      <c r="R54" s="43">
        <v>34.25</v>
      </c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36">
        <f t="shared" si="5"/>
        <v>239.5</v>
      </c>
    </row>
    <row r="55" spans="1:35">
      <c r="A55" s="10">
        <v>15</v>
      </c>
      <c r="B55" s="11" t="s">
        <v>43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36">
        <f t="shared" si="5"/>
        <v>0</v>
      </c>
    </row>
    <row r="56" spans="1:35">
      <c r="A56" s="10">
        <v>16</v>
      </c>
      <c r="B56" s="11" t="s">
        <v>44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36">
        <f t="shared" si="5"/>
        <v>0</v>
      </c>
    </row>
    <row r="57" spans="1:35">
      <c r="A57" s="10">
        <v>17</v>
      </c>
      <c r="B57" s="11" t="s">
        <v>45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36">
        <f t="shared" si="5"/>
        <v>0</v>
      </c>
    </row>
    <row r="58" spans="1:35">
      <c r="A58" s="10">
        <v>18</v>
      </c>
      <c r="B58" s="11" t="s">
        <v>46</v>
      </c>
      <c r="C58" s="43"/>
      <c r="D58" s="43"/>
      <c r="E58" s="43"/>
      <c r="F58" s="43"/>
      <c r="G58" s="43"/>
      <c r="H58" s="43">
        <v>1419.25</v>
      </c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36">
        <f t="shared" si="5"/>
        <v>1419.25</v>
      </c>
    </row>
    <row r="59" spans="1:35">
      <c r="A59" s="51">
        <v>19</v>
      </c>
      <c r="B59" s="11" t="s">
        <v>111</v>
      </c>
      <c r="C59" s="43"/>
      <c r="D59" s="43"/>
      <c r="E59" s="43"/>
      <c r="F59" s="43"/>
      <c r="G59" s="43"/>
      <c r="H59" s="43">
        <v>52</v>
      </c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36">
        <f t="shared" si="5"/>
        <v>52</v>
      </c>
    </row>
    <row r="60" spans="1:35">
      <c r="A60" s="10">
        <v>20</v>
      </c>
      <c r="B60" s="11" t="s">
        <v>112</v>
      </c>
      <c r="C60" s="43"/>
      <c r="D60" s="43"/>
      <c r="E60" s="43">
        <v>20</v>
      </c>
      <c r="F60" s="43">
        <v>10</v>
      </c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36">
        <f t="shared" si="5"/>
        <v>30</v>
      </c>
    </row>
    <row r="61" spans="1:35">
      <c r="A61" s="10">
        <v>21</v>
      </c>
      <c r="B61" s="11" t="s">
        <v>47</v>
      </c>
      <c r="C61" s="43"/>
      <c r="D61" s="43"/>
      <c r="E61" s="43"/>
      <c r="F61" s="43">
        <v>4</v>
      </c>
      <c r="G61" s="43">
        <v>14</v>
      </c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36">
        <f t="shared" si="5"/>
        <v>18</v>
      </c>
    </row>
    <row r="62" spans="1:35">
      <c r="A62" s="10">
        <v>22</v>
      </c>
      <c r="B62" s="11" t="s">
        <v>116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>
        <v>15.75</v>
      </c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36">
        <f t="shared" si="5"/>
        <v>15.75</v>
      </c>
    </row>
    <row r="63" spans="1:35">
      <c r="A63" s="10">
        <v>23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36">
        <f t="shared" si="5"/>
        <v>0</v>
      </c>
    </row>
    <row r="64" spans="1:35">
      <c r="A64" s="10">
        <v>24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36">
        <f t="shared" si="5"/>
        <v>0</v>
      </c>
    </row>
    <row r="65" spans="1:35">
      <c r="A65" s="10">
        <v>25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36">
        <f t="shared" si="5"/>
        <v>0</v>
      </c>
    </row>
    <row r="66" spans="1:35">
      <c r="A66" s="10">
        <v>26</v>
      </c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36">
        <f t="shared" si="5"/>
        <v>0</v>
      </c>
    </row>
    <row r="67" spans="1:35">
      <c r="A67" s="10">
        <v>27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36">
        <f t="shared" si="5"/>
        <v>0</v>
      </c>
    </row>
    <row r="68" spans="1:35">
      <c r="A68" s="10">
        <v>28</v>
      </c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36">
        <f t="shared" si="5"/>
        <v>0</v>
      </c>
    </row>
    <row r="69" spans="1:35">
      <c r="A69" s="10">
        <v>29</v>
      </c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36">
        <f t="shared" si="5"/>
        <v>0</v>
      </c>
    </row>
    <row r="70" spans="1:35">
      <c r="A70" s="10">
        <v>30</v>
      </c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36">
        <f t="shared" si="5"/>
        <v>0</v>
      </c>
    </row>
    <row r="71" spans="1:35" ht="13">
      <c r="A71" s="33"/>
      <c r="B71" s="34" t="s">
        <v>68</v>
      </c>
      <c r="C71" s="35">
        <f>SUM(C41:C70)</f>
        <v>70.25</v>
      </c>
      <c r="D71" s="35">
        <f t="shared" ref="D71" si="6">SUM(D41:D70)</f>
        <v>111.75</v>
      </c>
      <c r="E71" s="35">
        <f t="shared" ref="E71" si="7">SUM(E41:E70)</f>
        <v>46.5</v>
      </c>
      <c r="F71" s="35">
        <f t="shared" ref="F71" si="8">SUM(F41:F70)</f>
        <v>14</v>
      </c>
      <c r="G71" s="35">
        <f t="shared" ref="G71" si="9">SUM(G41:G70)</f>
        <v>214.75</v>
      </c>
      <c r="H71" s="35">
        <f t="shared" ref="H71" si="10">SUM(H41:H70)</f>
        <v>1516</v>
      </c>
      <c r="I71" s="35">
        <f t="shared" ref="I71" si="11">SUM(I41:I70)</f>
        <v>104.25</v>
      </c>
      <c r="J71" s="35">
        <f t="shared" ref="J71" si="12">SUM(J41:J70)</f>
        <v>0</v>
      </c>
      <c r="K71" s="35">
        <f t="shared" ref="K71" si="13">SUM(K41:K70)</f>
        <v>175</v>
      </c>
      <c r="L71" s="35">
        <f t="shared" ref="L71" si="14">SUM(L41:L70)</f>
        <v>0</v>
      </c>
      <c r="M71" s="35">
        <f t="shared" ref="M71" si="15">SUM(M41:M70)</f>
        <v>118.25</v>
      </c>
      <c r="N71" s="35">
        <f t="shared" ref="N71" si="16">SUM(N41:N70)</f>
        <v>3</v>
      </c>
      <c r="O71" s="35">
        <f t="shared" ref="O71" si="17">SUM(O41:O70)</f>
        <v>236.25</v>
      </c>
      <c r="P71" s="35">
        <f t="shared" ref="P71" si="18">SUM(P41:P70)</f>
        <v>433.18</v>
      </c>
      <c r="Q71" s="35">
        <f t="shared" ref="Q71" si="19">SUM(Q41:Q70)</f>
        <v>130.75</v>
      </c>
      <c r="R71" s="35">
        <f t="shared" ref="R71" si="20">SUM(R41:R70)</f>
        <v>34.25</v>
      </c>
      <c r="S71" s="35">
        <f t="shared" ref="S71" si="21">SUM(S41:S70)</f>
        <v>0</v>
      </c>
      <c r="T71" s="35">
        <f t="shared" ref="T71" si="22">SUM(T41:T70)</f>
        <v>0</v>
      </c>
      <c r="U71" s="35">
        <f t="shared" ref="U71" si="23">SUM(U41:U70)</f>
        <v>0</v>
      </c>
      <c r="V71" s="35">
        <f t="shared" ref="V71" si="24">SUM(V41:V70)</f>
        <v>0</v>
      </c>
      <c r="W71" s="35">
        <f t="shared" ref="W71" si="25">SUM(W41:W70)</f>
        <v>0</v>
      </c>
      <c r="X71" s="35">
        <f t="shared" ref="X71" si="26">SUM(X41:X70)</f>
        <v>0</v>
      </c>
      <c r="Y71" s="35">
        <f t="shared" ref="Y71" si="27">SUM(Y41:Y70)</f>
        <v>0</v>
      </c>
      <c r="Z71" s="35">
        <f t="shared" ref="Z71" si="28">SUM(Z41:Z70)</f>
        <v>0</v>
      </c>
      <c r="AA71" s="35">
        <f t="shared" ref="AA71" si="29">SUM(AA41:AA70)</f>
        <v>0</v>
      </c>
      <c r="AB71" s="35">
        <f t="shared" ref="AB71" si="30">SUM(AB41:AB70)</f>
        <v>0</v>
      </c>
      <c r="AC71" s="35">
        <f t="shared" ref="AC71" si="31">SUM(AC41:AC70)</f>
        <v>0</v>
      </c>
      <c r="AD71" s="35">
        <f t="shared" ref="AD71" si="32">SUM(AD41:AD70)</f>
        <v>0</v>
      </c>
      <c r="AE71" s="35">
        <f t="shared" ref="AE71" si="33">SUM(AE41:AE70)</f>
        <v>0</v>
      </c>
      <c r="AF71" s="35">
        <f t="shared" ref="AF71" si="34">SUM(AF41:AF70)</f>
        <v>0</v>
      </c>
      <c r="AG71" s="35">
        <f t="shared" ref="AG71" si="35">SUM(AG41:AG70)</f>
        <v>0</v>
      </c>
      <c r="AH71" s="35">
        <f t="shared" ref="AH71" si="36">SUM(AH41:AH70)</f>
        <v>0</v>
      </c>
      <c r="AI71" s="36">
        <f t="shared" ref="AI71" si="37">SUM(AI41:AI70)</f>
        <v>3208.1800000000003</v>
      </c>
    </row>
    <row r="72" spans="1:35">
      <c r="A72" s="10"/>
      <c r="B72" s="11" t="s">
        <v>69</v>
      </c>
      <c r="C72" s="27">
        <f>C71+C40</f>
        <v>70.25</v>
      </c>
      <c r="D72" s="27">
        <f t="shared" ref="D72:AH72" si="38">D71+D40</f>
        <v>111.75</v>
      </c>
      <c r="E72" s="27">
        <f t="shared" si="38"/>
        <v>46.5</v>
      </c>
      <c r="F72" s="27">
        <f t="shared" si="38"/>
        <v>14</v>
      </c>
      <c r="G72" s="27">
        <f t="shared" si="38"/>
        <v>214.75</v>
      </c>
      <c r="H72" s="27">
        <f t="shared" si="38"/>
        <v>1516</v>
      </c>
      <c r="I72" s="27">
        <f t="shared" si="38"/>
        <v>104.25</v>
      </c>
      <c r="J72" s="27">
        <f t="shared" si="38"/>
        <v>0</v>
      </c>
      <c r="K72" s="27">
        <f t="shared" si="38"/>
        <v>175</v>
      </c>
      <c r="L72" s="27">
        <f t="shared" si="38"/>
        <v>0</v>
      </c>
      <c r="M72" s="27">
        <f t="shared" si="38"/>
        <v>118.25</v>
      </c>
      <c r="N72" s="27">
        <f t="shared" si="38"/>
        <v>3</v>
      </c>
      <c r="O72" s="27">
        <f t="shared" si="38"/>
        <v>236.25</v>
      </c>
      <c r="P72" s="27">
        <f t="shared" si="38"/>
        <v>433.18</v>
      </c>
      <c r="Q72" s="27">
        <f t="shared" si="38"/>
        <v>130.75</v>
      </c>
      <c r="R72" s="27">
        <f t="shared" si="38"/>
        <v>34.25</v>
      </c>
      <c r="S72" s="27">
        <f t="shared" si="38"/>
        <v>0</v>
      </c>
      <c r="T72" s="27">
        <f t="shared" si="38"/>
        <v>0</v>
      </c>
      <c r="U72" s="27">
        <f t="shared" si="38"/>
        <v>0</v>
      </c>
      <c r="V72" s="27">
        <f t="shared" si="38"/>
        <v>0</v>
      </c>
      <c r="W72" s="27">
        <f t="shared" si="38"/>
        <v>0</v>
      </c>
      <c r="X72" s="27">
        <f t="shared" si="38"/>
        <v>0</v>
      </c>
      <c r="Y72" s="27">
        <f t="shared" si="38"/>
        <v>0</v>
      </c>
      <c r="Z72" s="27">
        <f t="shared" si="38"/>
        <v>0</v>
      </c>
      <c r="AA72" s="27">
        <f t="shared" si="38"/>
        <v>0</v>
      </c>
      <c r="AB72" s="27">
        <f t="shared" si="38"/>
        <v>0</v>
      </c>
      <c r="AC72" s="27">
        <f t="shared" si="38"/>
        <v>0</v>
      </c>
      <c r="AD72" s="27">
        <f t="shared" si="38"/>
        <v>0</v>
      </c>
      <c r="AE72" s="27">
        <f t="shared" si="38"/>
        <v>0</v>
      </c>
      <c r="AF72" s="27">
        <f t="shared" si="38"/>
        <v>0</v>
      </c>
      <c r="AG72" s="27">
        <f t="shared" si="38"/>
        <v>0</v>
      </c>
      <c r="AH72" s="27">
        <f t="shared" si="38"/>
        <v>0</v>
      </c>
      <c r="AI72" s="38">
        <f>AI71+AI40</f>
        <v>3208.1800000000003</v>
      </c>
    </row>
    <row r="73" spans="1:35" ht="13">
      <c r="A73" s="10"/>
      <c r="B73" s="34" t="s">
        <v>72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0</v>
      </c>
      <c r="AE73" s="43">
        <v>0</v>
      </c>
      <c r="AF73" s="43">
        <v>0</v>
      </c>
      <c r="AG73" s="43">
        <v>0</v>
      </c>
      <c r="AH73" s="43">
        <v>0</v>
      </c>
      <c r="AI73" s="38">
        <f>SUM(C73:AH73)</f>
        <v>0</v>
      </c>
    </row>
    <row r="74" spans="1:35" ht="5" customHeight="1">
      <c r="A74" s="10"/>
      <c r="AI74" s="39"/>
    </row>
    <row r="75" spans="1:35" ht="13">
      <c r="A75" s="40"/>
      <c r="B75" s="12" t="s">
        <v>73</v>
      </c>
      <c r="C75" s="41">
        <f>C72-C73</f>
        <v>70.25</v>
      </c>
      <c r="D75" s="41">
        <f t="shared" ref="D75:AI75" si="39">D72-D73</f>
        <v>111.75</v>
      </c>
      <c r="E75" s="41">
        <f t="shared" si="39"/>
        <v>46.5</v>
      </c>
      <c r="F75" s="41">
        <f t="shared" si="39"/>
        <v>14</v>
      </c>
      <c r="G75" s="41">
        <f t="shared" si="39"/>
        <v>214.75</v>
      </c>
      <c r="H75" s="41">
        <f t="shared" si="39"/>
        <v>1516</v>
      </c>
      <c r="I75" s="41">
        <f t="shared" si="39"/>
        <v>104.25</v>
      </c>
      <c r="J75" s="41">
        <f t="shared" si="39"/>
        <v>0</v>
      </c>
      <c r="K75" s="41">
        <f t="shared" si="39"/>
        <v>175</v>
      </c>
      <c r="L75" s="41">
        <f t="shared" si="39"/>
        <v>0</v>
      </c>
      <c r="M75" s="41">
        <f t="shared" si="39"/>
        <v>118.25</v>
      </c>
      <c r="N75" s="41">
        <f t="shared" si="39"/>
        <v>3</v>
      </c>
      <c r="O75" s="41">
        <f t="shared" si="39"/>
        <v>236.25</v>
      </c>
      <c r="P75" s="41">
        <f t="shared" si="39"/>
        <v>433.18</v>
      </c>
      <c r="Q75" s="41">
        <f t="shared" si="39"/>
        <v>130.75</v>
      </c>
      <c r="R75" s="41">
        <f t="shared" si="39"/>
        <v>34.25</v>
      </c>
      <c r="S75" s="41">
        <f t="shared" si="39"/>
        <v>0</v>
      </c>
      <c r="T75" s="41">
        <f t="shared" si="39"/>
        <v>0</v>
      </c>
      <c r="U75" s="41">
        <f t="shared" si="39"/>
        <v>0</v>
      </c>
      <c r="V75" s="41">
        <f t="shared" si="39"/>
        <v>0</v>
      </c>
      <c r="W75" s="41">
        <f t="shared" si="39"/>
        <v>0</v>
      </c>
      <c r="X75" s="41">
        <f t="shared" si="39"/>
        <v>0</v>
      </c>
      <c r="Y75" s="41">
        <f t="shared" si="39"/>
        <v>0</v>
      </c>
      <c r="Z75" s="41">
        <f t="shared" si="39"/>
        <v>0</v>
      </c>
      <c r="AA75" s="41">
        <f t="shared" si="39"/>
        <v>0</v>
      </c>
      <c r="AB75" s="41">
        <f t="shared" si="39"/>
        <v>0</v>
      </c>
      <c r="AC75" s="41">
        <f t="shared" si="39"/>
        <v>0</v>
      </c>
      <c r="AD75" s="41">
        <f t="shared" si="39"/>
        <v>0</v>
      </c>
      <c r="AE75" s="41">
        <f t="shared" si="39"/>
        <v>0</v>
      </c>
      <c r="AF75" s="41">
        <f t="shared" si="39"/>
        <v>0</v>
      </c>
      <c r="AG75" s="41">
        <f t="shared" si="39"/>
        <v>0</v>
      </c>
      <c r="AH75" s="41">
        <f t="shared" si="39"/>
        <v>0</v>
      </c>
      <c r="AI75" s="42">
        <f t="shared" si="39"/>
        <v>3208.1800000000003</v>
      </c>
    </row>
    <row r="76" spans="1:35" ht="8" customHeight="1"/>
    <row r="77" spans="1:35" ht="13">
      <c r="A77" s="33"/>
      <c r="B77" s="34" t="s">
        <v>70</v>
      </c>
      <c r="C77" s="35">
        <f>C73</f>
        <v>0</v>
      </c>
      <c r="D77" s="35">
        <f t="shared" ref="D77:AH77" si="40">D73</f>
        <v>0</v>
      </c>
      <c r="E77" s="35">
        <f t="shared" si="40"/>
        <v>0</v>
      </c>
      <c r="F77" s="35">
        <f t="shared" si="40"/>
        <v>0</v>
      </c>
      <c r="G77" s="35">
        <f t="shared" si="40"/>
        <v>0</v>
      </c>
      <c r="H77" s="35">
        <f t="shared" si="40"/>
        <v>0</v>
      </c>
      <c r="I77" s="35">
        <f t="shared" si="40"/>
        <v>0</v>
      </c>
      <c r="J77" s="35">
        <f t="shared" si="40"/>
        <v>0</v>
      </c>
      <c r="K77" s="35">
        <f t="shared" si="40"/>
        <v>0</v>
      </c>
      <c r="L77" s="35">
        <f t="shared" si="40"/>
        <v>0</v>
      </c>
      <c r="M77" s="35">
        <f t="shared" si="40"/>
        <v>0</v>
      </c>
      <c r="N77" s="35">
        <f t="shared" si="40"/>
        <v>0</v>
      </c>
      <c r="O77" s="35">
        <f t="shared" si="40"/>
        <v>0</v>
      </c>
      <c r="P77" s="35">
        <f t="shared" si="40"/>
        <v>0</v>
      </c>
      <c r="Q77" s="35">
        <f t="shared" si="40"/>
        <v>0</v>
      </c>
      <c r="R77" s="35">
        <f t="shared" si="40"/>
        <v>0</v>
      </c>
      <c r="S77" s="35">
        <f t="shared" si="40"/>
        <v>0</v>
      </c>
      <c r="T77" s="35">
        <f t="shared" si="40"/>
        <v>0</v>
      </c>
      <c r="U77" s="35">
        <f t="shared" si="40"/>
        <v>0</v>
      </c>
      <c r="V77" s="35">
        <f t="shared" si="40"/>
        <v>0</v>
      </c>
      <c r="W77" s="35">
        <f t="shared" si="40"/>
        <v>0</v>
      </c>
      <c r="X77" s="35">
        <f t="shared" si="40"/>
        <v>0</v>
      </c>
      <c r="Y77" s="35">
        <f t="shared" si="40"/>
        <v>0</v>
      </c>
      <c r="Z77" s="35">
        <f t="shared" si="40"/>
        <v>0</v>
      </c>
      <c r="AA77" s="35">
        <f t="shared" si="40"/>
        <v>0</v>
      </c>
      <c r="AB77" s="35">
        <f t="shared" si="40"/>
        <v>0</v>
      </c>
      <c r="AC77" s="35">
        <f t="shared" si="40"/>
        <v>0</v>
      </c>
      <c r="AD77" s="35">
        <f t="shared" si="40"/>
        <v>0</v>
      </c>
      <c r="AE77" s="35">
        <f t="shared" si="40"/>
        <v>0</v>
      </c>
      <c r="AF77" s="35">
        <f t="shared" si="40"/>
        <v>0</v>
      </c>
      <c r="AG77" s="35">
        <f t="shared" si="40"/>
        <v>0</v>
      </c>
      <c r="AH77" s="35">
        <f t="shared" si="40"/>
        <v>0</v>
      </c>
      <c r="AI77" s="36">
        <f>SUM(C77:AH77)</f>
        <v>0</v>
      </c>
    </row>
    <row r="78" spans="1:35">
      <c r="A78" s="10">
        <v>1</v>
      </c>
      <c r="B78" s="11" t="s">
        <v>29</v>
      </c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36">
        <f t="shared" ref="AI78:AI107" si="41">SUM(C78:AH78)</f>
        <v>0</v>
      </c>
    </row>
    <row r="79" spans="1:35">
      <c r="A79" s="10">
        <v>2</v>
      </c>
      <c r="B79" s="11" t="s">
        <v>30</v>
      </c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36">
        <f t="shared" si="41"/>
        <v>0</v>
      </c>
    </row>
    <row r="80" spans="1:35">
      <c r="A80" s="10">
        <v>3</v>
      </c>
      <c r="B80" s="11" t="s">
        <v>31</v>
      </c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36">
        <f t="shared" si="41"/>
        <v>0</v>
      </c>
    </row>
    <row r="81" spans="1:35">
      <c r="A81" s="10">
        <v>4</v>
      </c>
      <c r="B81" s="11" t="s">
        <v>32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36">
        <f t="shared" si="41"/>
        <v>0</v>
      </c>
    </row>
    <row r="82" spans="1:35">
      <c r="A82" s="10">
        <v>5</v>
      </c>
      <c r="B82" s="11" t="s">
        <v>33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36">
        <f t="shared" si="41"/>
        <v>0</v>
      </c>
    </row>
    <row r="83" spans="1:35">
      <c r="A83" s="10">
        <v>6</v>
      </c>
      <c r="B83" s="11" t="s">
        <v>34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36">
        <f t="shared" si="41"/>
        <v>0</v>
      </c>
    </row>
    <row r="84" spans="1:35">
      <c r="A84" s="10">
        <v>7</v>
      </c>
      <c r="B84" s="11" t="s">
        <v>35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36">
        <f t="shared" si="41"/>
        <v>0</v>
      </c>
    </row>
    <row r="85" spans="1:35">
      <c r="A85" s="10">
        <v>8</v>
      </c>
      <c r="B85" s="11" t="s">
        <v>36</v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36">
        <f t="shared" si="41"/>
        <v>0</v>
      </c>
    </row>
    <row r="86" spans="1:35">
      <c r="A86" s="10">
        <v>9</v>
      </c>
      <c r="B86" s="11" t="s">
        <v>37</v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36">
        <f t="shared" si="41"/>
        <v>0</v>
      </c>
    </row>
    <row r="87" spans="1:35">
      <c r="A87" s="10">
        <v>10</v>
      </c>
      <c r="B87" s="11" t="s">
        <v>38</v>
      </c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36">
        <f t="shared" si="41"/>
        <v>0</v>
      </c>
    </row>
    <row r="88" spans="1:35">
      <c r="A88" s="10">
        <v>11</v>
      </c>
      <c r="B88" s="11" t="s">
        <v>39</v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36">
        <f t="shared" si="41"/>
        <v>0</v>
      </c>
    </row>
    <row r="89" spans="1:35">
      <c r="A89" s="10">
        <v>12</v>
      </c>
      <c r="B89" s="11" t="s">
        <v>40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36">
        <f t="shared" si="41"/>
        <v>0</v>
      </c>
    </row>
    <row r="90" spans="1:35">
      <c r="A90" s="10">
        <v>13</v>
      </c>
      <c r="B90" s="11" t="s">
        <v>41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36">
        <f t="shared" si="41"/>
        <v>0</v>
      </c>
    </row>
    <row r="91" spans="1:35">
      <c r="A91" s="10">
        <v>14</v>
      </c>
      <c r="B91" s="11" t="s">
        <v>42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36">
        <f t="shared" si="41"/>
        <v>0</v>
      </c>
    </row>
    <row r="92" spans="1:35">
      <c r="A92" s="10">
        <v>15</v>
      </c>
      <c r="B92" s="11" t="s">
        <v>43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36">
        <f t="shared" si="41"/>
        <v>0</v>
      </c>
    </row>
    <row r="93" spans="1:35">
      <c r="A93" s="10">
        <v>16</v>
      </c>
      <c r="B93" s="11" t="s">
        <v>44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36">
        <f t="shared" si="41"/>
        <v>0</v>
      </c>
    </row>
    <row r="94" spans="1:35">
      <c r="A94" s="10">
        <v>17</v>
      </c>
      <c r="B94" s="11" t="s">
        <v>45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36">
        <f t="shared" si="41"/>
        <v>0</v>
      </c>
    </row>
    <row r="95" spans="1:35">
      <c r="A95" s="10">
        <v>18</v>
      </c>
      <c r="B95" s="11" t="s">
        <v>46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36">
        <f t="shared" si="41"/>
        <v>0</v>
      </c>
    </row>
    <row r="96" spans="1:35">
      <c r="A96" s="10">
        <v>19</v>
      </c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36">
        <f t="shared" si="41"/>
        <v>0</v>
      </c>
    </row>
    <row r="97" spans="1:35">
      <c r="A97" s="10">
        <v>20</v>
      </c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36">
        <f t="shared" si="41"/>
        <v>0</v>
      </c>
    </row>
    <row r="98" spans="1:35">
      <c r="A98" s="10">
        <v>21</v>
      </c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36">
        <f t="shared" si="41"/>
        <v>0</v>
      </c>
    </row>
    <row r="99" spans="1:35">
      <c r="A99" s="10">
        <v>22</v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36">
        <f t="shared" si="41"/>
        <v>0</v>
      </c>
    </row>
    <row r="100" spans="1:35">
      <c r="A100" s="10">
        <v>23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36">
        <f t="shared" si="41"/>
        <v>0</v>
      </c>
    </row>
    <row r="101" spans="1:35">
      <c r="A101" s="10">
        <v>24</v>
      </c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36">
        <f t="shared" si="41"/>
        <v>0</v>
      </c>
    </row>
    <row r="102" spans="1:35">
      <c r="A102" s="10">
        <v>25</v>
      </c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36">
        <f t="shared" si="41"/>
        <v>0</v>
      </c>
    </row>
    <row r="103" spans="1:35">
      <c r="A103" s="10">
        <v>26</v>
      </c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36">
        <f t="shared" si="41"/>
        <v>0</v>
      </c>
    </row>
    <row r="104" spans="1:35">
      <c r="A104" s="10">
        <v>27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36">
        <f t="shared" si="41"/>
        <v>0</v>
      </c>
    </row>
    <row r="105" spans="1:35">
      <c r="A105" s="10">
        <v>28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36">
        <f t="shared" si="41"/>
        <v>0</v>
      </c>
    </row>
    <row r="106" spans="1:35">
      <c r="A106" s="10">
        <v>29</v>
      </c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36">
        <f t="shared" si="41"/>
        <v>0</v>
      </c>
    </row>
    <row r="107" spans="1:35">
      <c r="A107" s="10">
        <v>30</v>
      </c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36">
        <f t="shared" si="41"/>
        <v>0</v>
      </c>
    </row>
    <row r="108" spans="1:35" ht="13">
      <c r="A108" s="33"/>
      <c r="B108" s="34" t="s">
        <v>68</v>
      </c>
      <c r="C108" s="35">
        <f>SUM(C78:C107)</f>
        <v>0</v>
      </c>
      <c r="D108" s="35">
        <f t="shared" ref="D108" si="42">SUM(D78:D107)</f>
        <v>0</v>
      </c>
      <c r="E108" s="35">
        <f t="shared" ref="E108" si="43">SUM(E78:E107)</f>
        <v>0</v>
      </c>
      <c r="F108" s="35">
        <f t="shared" ref="F108" si="44">SUM(F78:F107)</f>
        <v>0</v>
      </c>
      <c r="G108" s="35">
        <f t="shared" ref="G108" si="45">SUM(G78:G107)</f>
        <v>0</v>
      </c>
      <c r="H108" s="35">
        <f t="shared" ref="H108" si="46">SUM(H78:H107)</f>
        <v>0</v>
      </c>
      <c r="I108" s="35">
        <f t="shared" ref="I108" si="47">SUM(I78:I107)</f>
        <v>0</v>
      </c>
      <c r="J108" s="35">
        <f t="shared" ref="J108" si="48">SUM(J78:J107)</f>
        <v>0</v>
      </c>
      <c r="K108" s="35">
        <f t="shared" ref="K108" si="49">SUM(K78:K107)</f>
        <v>0</v>
      </c>
      <c r="L108" s="35">
        <f t="shared" ref="L108" si="50">SUM(L78:L107)</f>
        <v>0</v>
      </c>
      <c r="M108" s="35">
        <f t="shared" ref="M108" si="51">SUM(M78:M107)</f>
        <v>0</v>
      </c>
      <c r="N108" s="35">
        <f t="shared" ref="N108" si="52">SUM(N78:N107)</f>
        <v>0</v>
      </c>
      <c r="O108" s="35">
        <f t="shared" ref="O108" si="53">SUM(O78:O107)</f>
        <v>0</v>
      </c>
      <c r="P108" s="35">
        <f t="shared" ref="P108" si="54">SUM(P78:P107)</f>
        <v>0</v>
      </c>
      <c r="Q108" s="35">
        <f t="shared" ref="Q108" si="55">SUM(Q78:Q107)</f>
        <v>0</v>
      </c>
      <c r="R108" s="35">
        <f t="shared" ref="R108" si="56">SUM(R78:R107)</f>
        <v>0</v>
      </c>
      <c r="S108" s="35">
        <f t="shared" ref="S108" si="57">SUM(S78:S107)</f>
        <v>0</v>
      </c>
      <c r="T108" s="35">
        <f t="shared" ref="T108" si="58">SUM(T78:T107)</f>
        <v>0</v>
      </c>
      <c r="U108" s="35">
        <f t="shared" ref="U108" si="59">SUM(U78:U107)</f>
        <v>0</v>
      </c>
      <c r="V108" s="35">
        <f t="shared" ref="V108" si="60">SUM(V78:V107)</f>
        <v>0</v>
      </c>
      <c r="W108" s="35">
        <f t="shared" ref="W108" si="61">SUM(W78:W107)</f>
        <v>0</v>
      </c>
      <c r="X108" s="35">
        <f t="shared" ref="X108" si="62">SUM(X78:X107)</f>
        <v>0</v>
      </c>
      <c r="Y108" s="35">
        <f t="shared" ref="Y108" si="63">SUM(Y78:Y107)</f>
        <v>0</v>
      </c>
      <c r="Z108" s="35">
        <f t="shared" ref="Z108" si="64">SUM(Z78:Z107)</f>
        <v>0</v>
      </c>
      <c r="AA108" s="35">
        <f t="shared" ref="AA108" si="65">SUM(AA78:AA107)</f>
        <v>0</v>
      </c>
      <c r="AB108" s="35">
        <f t="shared" ref="AB108" si="66">SUM(AB78:AB107)</f>
        <v>0</v>
      </c>
      <c r="AC108" s="35">
        <f t="shared" ref="AC108" si="67">SUM(AC78:AC107)</f>
        <v>0</v>
      </c>
      <c r="AD108" s="35">
        <f t="shared" ref="AD108" si="68">SUM(AD78:AD107)</f>
        <v>0</v>
      </c>
      <c r="AE108" s="35">
        <f t="shared" ref="AE108" si="69">SUM(AE78:AE107)</f>
        <v>0</v>
      </c>
      <c r="AF108" s="35">
        <f t="shared" ref="AF108" si="70">SUM(AF78:AF107)</f>
        <v>0</v>
      </c>
      <c r="AG108" s="35">
        <f t="shared" ref="AG108" si="71">SUM(AG78:AG107)</f>
        <v>0</v>
      </c>
      <c r="AH108" s="35">
        <f t="shared" ref="AH108" si="72">SUM(AH78:AH107)</f>
        <v>0</v>
      </c>
      <c r="AI108" s="36">
        <f t="shared" ref="AI108" si="73">SUM(AI78:AI107)</f>
        <v>0</v>
      </c>
    </row>
    <row r="109" spans="1:35">
      <c r="A109" s="10"/>
      <c r="B109" s="11" t="s">
        <v>69</v>
      </c>
      <c r="C109" s="27">
        <f>C108+C77</f>
        <v>0</v>
      </c>
      <c r="D109" s="27">
        <f t="shared" ref="D109" si="74">D108+D77</f>
        <v>0</v>
      </c>
      <c r="E109" s="27">
        <f t="shared" ref="E109" si="75">E108+E77</f>
        <v>0</v>
      </c>
      <c r="F109" s="27">
        <f t="shared" ref="F109" si="76">F108+F77</f>
        <v>0</v>
      </c>
      <c r="G109" s="27">
        <f t="shared" ref="G109" si="77">G108+G77</f>
        <v>0</v>
      </c>
      <c r="H109" s="27">
        <f t="shared" ref="H109" si="78">H108+H77</f>
        <v>0</v>
      </c>
      <c r="I109" s="27">
        <f t="shared" ref="I109" si="79">I108+I77</f>
        <v>0</v>
      </c>
      <c r="J109" s="27">
        <f t="shared" ref="J109" si="80">J108+J77</f>
        <v>0</v>
      </c>
      <c r="K109" s="27">
        <f t="shared" ref="K109" si="81">K108+K77</f>
        <v>0</v>
      </c>
      <c r="L109" s="27">
        <f t="shared" ref="L109" si="82">L108+L77</f>
        <v>0</v>
      </c>
      <c r="M109" s="27">
        <f t="shared" ref="M109" si="83">M108+M77</f>
        <v>0</v>
      </c>
      <c r="N109" s="27">
        <f t="shared" ref="N109" si="84">N108+N77</f>
        <v>0</v>
      </c>
      <c r="O109" s="27">
        <f t="shared" ref="O109" si="85">O108+O77</f>
        <v>0</v>
      </c>
      <c r="P109" s="27">
        <f t="shared" ref="P109" si="86">P108+P77</f>
        <v>0</v>
      </c>
      <c r="Q109" s="27">
        <f t="shared" ref="Q109" si="87">Q108+Q77</f>
        <v>0</v>
      </c>
      <c r="R109" s="27">
        <f t="shared" ref="R109" si="88">R108+R77</f>
        <v>0</v>
      </c>
      <c r="S109" s="27">
        <f t="shared" ref="S109" si="89">S108+S77</f>
        <v>0</v>
      </c>
      <c r="T109" s="27">
        <f t="shared" ref="T109" si="90">T108+T77</f>
        <v>0</v>
      </c>
      <c r="U109" s="27">
        <f t="shared" ref="U109" si="91">U108+U77</f>
        <v>0</v>
      </c>
      <c r="V109" s="27">
        <f t="shared" ref="V109" si="92">V108+V77</f>
        <v>0</v>
      </c>
      <c r="W109" s="27">
        <f t="shared" ref="W109" si="93">W108+W77</f>
        <v>0</v>
      </c>
      <c r="X109" s="27">
        <f t="shared" ref="X109" si="94">X108+X77</f>
        <v>0</v>
      </c>
      <c r="Y109" s="27">
        <f t="shared" ref="Y109" si="95">Y108+Y77</f>
        <v>0</v>
      </c>
      <c r="Z109" s="27">
        <f t="shared" ref="Z109" si="96">Z108+Z77</f>
        <v>0</v>
      </c>
      <c r="AA109" s="27">
        <f t="shared" ref="AA109" si="97">AA108+AA77</f>
        <v>0</v>
      </c>
      <c r="AB109" s="27">
        <f t="shared" ref="AB109" si="98">AB108+AB77</f>
        <v>0</v>
      </c>
      <c r="AC109" s="27">
        <f t="shared" ref="AC109" si="99">AC108+AC77</f>
        <v>0</v>
      </c>
      <c r="AD109" s="27">
        <f t="shared" ref="AD109" si="100">AD108+AD77</f>
        <v>0</v>
      </c>
      <c r="AE109" s="27">
        <f t="shared" ref="AE109" si="101">AE108+AE77</f>
        <v>0</v>
      </c>
      <c r="AF109" s="27">
        <f t="shared" ref="AF109" si="102">AF108+AF77</f>
        <v>0</v>
      </c>
      <c r="AG109" s="27">
        <f t="shared" ref="AG109" si="103">AG108+AG77</f>
        <v>0</v>
      </c>
      <c r="AH109" s="27">
        <f t="shared" ref="AH109" si="104">AH108+AH77</f>
        <v>0</v>
      </c>
      <c r="AI109" s="38">
        <f>AI108+AI77</f>
        <v>0</v>
      </c>
    </row>
    <row r="110" spans="1:35" ht="13">
      <c r="A110" s="10"/>
      <c r="B110" s="34" t="s">
        <v>72</v>
      </c>
      <c r="C110" s="43">
        <v>0</v>
      </c>
      <c r="D110" s="43">
        <v>0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38">
        <f>SUM(C110:AH110)</f>
        <v>0</v>
      </c>
    </row>
    <row r="111" spans="1:35" ht="5" customHeight="1">
      <c r="A111" s="10"/>
      <c r="AI111" s="39"/>
    </row>
    <row r="112" spans="1:35" ht="13">
      <c r="A112" s="40"/>
      <c r="B112" s="12" t="s">
        <v>74</v>
      </c>
      <c r="C112" s="41">
        <f>C109-C110</f>
        <v>0</v>
      </c>
      <c r="D112" s="41">
        <f t="shared" ref="D112:AI112" si="105">D109-D110</f>
        <v>0</v>
      </c>
      <c r="E112" s="41">
        <f t="shared" si="105"/>
        <v>0</v>
      </c>
      <c r="F112" s="41">
        <f t="shared" si="105"/>
        <v>0</v>
      </c>
      <c r="G112" s="41">
        <f t="shared" si="105"/>
        <v>0</v>
      </c>
      <c r="H112" s="41">
        <f t="shared" si="105"/>
        <v>0</v>
      </c>
      <c r="I112" s="41">
        <f t="shared" si="105"/>
        <v>0</v>
      </c>
      <c r="J112" s="41">
        <f t="shared" si="105"/>
        <v>0</v>
      </c>
      <c r="K112" s="41">
        <f t="shared" si="105"/>
        <v>0</v>
      </c>
      <c r="L112" s="41">
        <f t="shared" si="105"/>
        <v>0</v>
      </c>
      <c r="M112" s="41">
        <f t="shared" si="105"/>
        <v>0</v>
      </c>
      <c r="N112" s="41">
        <f t="shared" si="105"/>
        <v>0</v>
      </c>
      <c r="O112" s="41">
        <f t="shared" si="105"/>
        <v>0</v>
      </c>
      <c r="P112" s="41">
        <f t="shared" si="105"/>
        <v>0</v>
      </c>
      <c r="Q112" s="41">
        <f t="shared" si="105"/>
        <v>0</v>
      </c>
      <c r="R112" s="41">
        <f t="shared" si="105"/>
        <v>0</v>
      </c>
      <c r="S112" s="41">
        <f t="shared" si="105"/>
        <v>0</v>
      </c>
      <c r="T112" s="41">
        <f t="shared" si="105"/>
        <v>0</v>
      </c>
      <c r="U112" s="41">
        <f t="shared" si="105"/>
        <v>0</v>
      </c>
      <c r="V112" s="41">
        <f t="shared" si="105"/>
        <v>0</v>
      </c>
      <c r="W112" s="41">
        <f t="shared" si="105"/>
        <v>0</v>
      </c>
      <c r="X112" s="41">
        <f t="shared" si="105"/>
        <v>0</v>
      </c>
      <c r="Y112" s="41">
        <f t="shared" si="105"/>
        <v>0</v>
      </c>
      <c r="Z112" s="41">
        <f t="shared" si="105"/>
        <v>0</v>
      </c>
      <c r="AA112" s="41">
        <f t="shared" si="105"/>
        <v>0</v>
      </c>
      <c r="AB112" s="41">
        <f t="shared" si="105"/>
        <v>0</v>
      </c>
      <c r="AC112" s="41">
        <f t="shared" si="105"/>
        <v>0</v>
      </c>
      <c r="AD112" s="41">
        <f t="shared" si="105"/>
        <v>0</v>
      </c>
      <c r="AE112" s="41">
        <f t="shared" si="105"/>
        <v>0</v>
      </c>
      <c r="AF112" s="41">
        <f t="shared" si="105"/>
        <v>0</v>
      </c>
      <c r="AG112" s="41">
        <f t="shared" si="105"/>
        <v>0</v>
      </c>
      <c r="AH112" s="41">
        <f t="shared" si="105"/>
        <v>0</v>
      </c>
      <c r="AI112" s="42">
        <f t="shared" si="105"/>
        <v>0</v>
      </c>
    </row>
    <row r="113" spans="1:35" ht="8" customHeight="1"/>
    <row r="114" spans="1:35" ht="13">
      <c r="A114" s="33"/>
      <c r="B114" s="34" t="s">
        <v>70</v>
      </c>
      <c r="C114" s="35">
        <f>C110</f>
        <v>0</v>
      </c>
      <c r="D114" s="35">
        <f t="shared" ref="D114:AH114" si="106">D110</f>
        <v>0</v>
      </c>
      <c r="E114" s="35">
        <f t="shared" si="106"/>
        <v>0</v>
      </c>
      <c r="F114" s="35">
        <f t="shared" si="106"/>
        <v>0</v>
      </c>
      <c r="G114" s="35">
        <f t="shared" si="106"/>
        <v>0</v>
      </c>
      <c r="H114" s="35">
        <f t="shared" si="106"/>
        <v>0</v>
      </c>
      <c r="I114" s="35">
        <f t="shared" si="106"/>
        <v>0</v>
      </c>
      <c r="J114" s="35">
        <f t="shared" si="106"/>
        <v>0</v>
      </c>
      <c r="K114" s="35">
        <f t="shared" si="106"/>
        <v>0</v>
      </c>
      <c r="L114" s="35">
        <f t="shared" si="106"/>
        <v>0</v>
      </c>
      <c r="M114" s="35">
        <f t="shared" si="106"/>
        <v>0</v>
      </c>
      <c r="N114" s="35">
        <f t="shared" si="106"/>
        <v>0</v>
      </c>
      <c r="O114" s="35">
        <f t="shared" si="106"/>
        <v>0</v>
      </c>
      <c r="P114" s="35">
        <f t="shared" si="106"/>
        <v>0</v>
      </c>
      <c r="Q114" s="35">
        <f t="shared" si="106"/>
        <v>0</v>
      </c>
      <c r="R114" s="35">
        <f t="shared" si="106"/>
        <v>0</v>
      </c>
      <c r="S114" s="35">
        <f t="shared" si="106"/>
        <v>0</v>
      </c>
      <c r="T114" s="35">
        <f t="shared" si="106"/>
        <v>0</v>
      </c>
      <c r="U114" s="35">
        <f t="shared" si="106"/>
        <v>0</v>
      </c>
      <c r="V114" s="35">
        <f t="shared" si="106"/>
        <v>0</v>
      </c>
      <c r="W114" s="35">
        <f t="shared" si="106"/>
        <v>0</v>
      </c>
      <c r="X114" s="35">
        <f t="shared" si="106"/>
        <v>0</v>
      </c>
      <c r="Y114" s="35">
        <f t="shared" si="106"/>
        <v>0</v>
      </c>
      <c r="Z114" s="35">
        <f t="shared" si="106"/>
        <v>0</v>
      </c>
      <c r="AA114" s="35">
        <f t="shared" si="106"/>
        <v>0</v>
      </c>
      <c r="AB114" s="35">
        <f t="shared" si="106"/>
        <v>0</v>
      </c>
      <c r="AC114" s="35">
        <f t="shared" si="106"/>
        <v>0</v>
      </c>
      <c r="AD114" s="35">
        <f t="shared" si="106"/>
        <v>0</v>
      </c>
      <c r="AE114" s="35">
        <f t="shared" si="106"/>
        <v>0</v>
      </c>
      <c r="AF114" s="35">
        <f t="shared" si="106"/>
        <v>0</v>
      </c>
      <c r="AG114" s="35">
        <f t="shared" si="106"/>
        <v>0</v>
      </c>
      <c r="AH114" s="35">
        <f t="shared" si="106"/>
        <v>0</v>
      </c>
      <c r="AI114" s="36">
        <f>SUM(C114:AH114)</f>
        <v>0</v>
      </c>
    </row>
    <row r="115" spans="1:35">
      <c r="A115" s="10">
        <v>1</v>
      </c>
      <c r="B115" s="11" t="s">
        <v>29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36">
        <f t="shared" ref="AI115:AI144" si="107">SUM(C115:AH115)</f>
        <v>0</v>
      </c>
    </row>
    <row r="116" spans="1:35">
      <c r="A116" s="10">
        <v>2</v>
      </c>
      <c r="B116" s="11" t="s">
        <v>30</v>
      </c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36">
        <f t="shared" si="107"/>
        <v>0</v>
      </c>
    </row>
    <row r="117" spans="1:35">
      <c r="A117" s="10">
        <v>3</v>
      </c>
      <c r="B117" s="11" t="s">
        <v>31</v>
      </c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36">
        <f t="shared" si="107"/>
        <v>0</v>
      </c>
    </row>
    <row r="118" spans="1:35">
      <c r="A118" s="10">
        <v>4</v>
      </c>
      <c r="B118" s="11" t="s">
        <v>32</v>
      </c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36">
        <f t="shared" si="107"/>
        <v>0</v>
      </c>
    </row>
    <row r="119" spans="1:35">
      <c r="A119" s="10">
        <v>5</v>
      </c>
      <c r="B119" s="11" t="s">
        <v>33</v>
      </c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36">
        <f t="shared" si="107"/>
        <v>0</v>
      </c>
    </row>
    <row r="120" spans="1:35">
      <c r="A120" s="10">
        <v>6</v>
      </c>
      <c r="B120" s="11" t="s">
        <v>34</v>
      </c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36">
        <f t="shared" si="107"/>
        <v>0</v>
      </c>
    </row>
    <row r="121" spans="1:35">
      <c r="A121" s="10">
        <v>7</v>
      </c>
      <c r="B121" s="11" t="s">
        <v>35</v>
      </c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36">
        <f t="shared" si="107"/>
        <v>0</v>
      </c>
    </row>
    <row r="122" spans="1:35">
      <c r="A122" s="10">
        <v>8</v>
      </c>
      <c r="B122" s="11" t="s">
        <v>36</v>
      </c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36">
        <f t="shared" si="107"/>
        <v>0</v>
      </c>
    </row>
    <row r="123" spans="1:35">
      <c r="A123" s="10">
        <v>9</v>
      </c>
      <c r="B123" s="11" t="s">
        <v>37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36">
        <f t="shared" si="107"/>
        <v>0</v>
      </c>
    </row>
    <row r="124" spans="1:35">
      <c r="A124" s="10">
        <v>10</v>
      </c>
      <c r="B124" s="11" t="s">
        <v>38</v>
      </c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36">
        <f t="shared" si="107"/>
        <v>0</v>
      </c>
    </row>
    <row r="125" spans="1:35">
      <c r="A125" s="10">
        <v>11</v>
      </c>
      <c r="B125" s="11" t="s">
        <v>39</v>
      </c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36">
        <f t="shared" si="107"/>
        <v>0</v>
      </c>
    </row>
    <row r="126" spans="1:35">
      <c r="A126" s="10">
        <v>12</v>
      </c>
      <c r="B126" s="11" t="s">
        <v>40</v>
      </c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36">
        <f t="shared" si="107"/>
        <v>0</v>
      </c>
    </row>
    <row r="127" spans="1:35">
      <c r="A127" s="10">
        <v>13</v>
      </c>
      <c r="B127" s="11" t="s">
        <v>41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36">
        <f t="shared" si="107"/>
        <v>0</v>
      </c>
    </row>
    <row r="128" spans="1:35">
      <c r="A128" s="10">
        <v>14</v>
      </c>
      <c r="B128" s="11" t="s">
        <v>42</v>
      </c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36">
        <f t="shared" si="107"/>
        <v>0</v>
      </c>
    </row>
    <row r="129" spans="1:35">
      <c r="A129" s="10">
        <v>15</v>
      </c>
      <c r="B129" s="11" t="s">
        <v>43</v>
      </c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36">
        <f t="shared" si="107"/>
        <v>0</v>
      </c>
    </row>
    <row r="130" spans="1:35">
      <c r="A130" s="10">
        <v>16</v>
      </c>
      <c r="B130" s="11" t="s">
        <v>44</v>
      </c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36">
        <f t="shared" si="107"/>
        <v>0</v>
      </c>
    </row>
    <row r="131" spans="1:35">
      <c r="A131" s="10">
        <v>17</v>
      </c>
      <c r="B131" s="11" t="s">
        <v>45</v>
      </c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36">
        <f t="shared" si="107"/>
        <v>0</v>
      </c>
    </row>
    <row r="132" spans="1:35">
      <c r="A132" s="10">
        <v>18</v>
      </c>
      <c r="B132" s="11" t="s">
        <v>46</v>
      </c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36">
        <f t="shared" si="107"/>
        <v>0</v>
      </c>
    </row>
    <row r="133" spans="1:35">
      <c r="A133" s="10">
        <v>19</v>
      </c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36">
        <f t="shared" si="107"/>
        <v>0</v>
      </c>
    </row>
    <row r="134" spans="1:35">
      <c r="A134" s="10">
        <v>20</v>
      </c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36">
        <f t="shared" si="107"/>
        <v>0</v>
      </c>
    </row>
    <row r="135" spans="1:35">
      <c r="A135" s="10">
        <v>21</v>
      </c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36">
        <f t="shared" si="107"/>
        <v>0</v>
      </c>
    </row>
    <row r="136" spans="1:35">
      <c r="A136" s="10">
        <v>22</v>
      </c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36">
        <f t="shared" si="107"/>
        <v>0</v>
      </c>
    </row>
    <row r="137" spans="1:35">
      <c r="A137" s="10">
        <v>23</v>
      </c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36">
        <f t="shared" si="107"/>
        <v>0</v>
      </c>
    </row>
    <row r="138" spans="1:35">
      <c r="A138" s="10">
        <v>24</v>
      </c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36">
        <f t="shared" si="107"/>
        <v>0</v>
      </c>
    </row>
    <row r="139" spans="1:35">
      <c r="A139" s="10">
        <v>25</v>
      </c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36">
        <f t="shared" si="107"/>
        <v>0</v>
      </c>
    </row>
    <row r="140" spans="1:35">
      <c r="A140" s="10">
        <v>26</v>
      </c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36">
        <f t="shared" si="107"/>
        <v>0</v>
      </c>
    </row>
    <row r="141" spans="1:35">
      <c r="A141" s="10">
        <v>27</v>
      </c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36">
        <f t="shared" si="107"/>
        <v>0</v>
      </c>
    </row>
    <row r="142" spans="1:35">
      <c r="A142" s="10">
        <v>28</v>
      </c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36">
        <f t="shared" si="107"/>
        <v>0</v>
      </c>
    </row>
    <row r="143" spans="1:35">
      <c r="A143" s="10">
        <v>29</v>
      </c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36">
        <f t="shared" si="107"/>
        <v>0</v>
      </c>
    </row>
    <row r="144" spans="1:35">
      <c r="A144" s="10">
        <v>30</v>
      </c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36">
        <f t="shared" si="107"/>
        <v>0</v>
      </c>
    </row>
    <row r="145" spans="1:35" ht="13">
      <c r="A145" s="33"/>
      <c r="B145" s="34" t="s">
        <v>68</v>
      </c>
      <c r="C145" s="35">
        <f>SUM(C115:C144)</f>
        <v>0</v>
      </c>
      <c r="D145" s="35">
        <f t="shared" ref="D145" si="108">SUM(D115:D144)</f>
        <v>0</v>
      </c>
      <c r="E145" s="35">
        <f t="shared" ref="E145" si="109">SUM(E115:E144)</f>
        <v>0</v>
      </c>
      <c r="F145" s="35">
        <f t="shared" ref="F145" si="110">SUM(F115:F144)</f>
        <v>0</v>
      </c>
      <c r="G145" s="35">
        <f t="shared" ref="G145" si="111">SUM(G115:G144)</f>
        <v>0</v>
      </c>
      <c r="H145" s="35">
        <f t="shared" ref="H145" si="112">SUM(H115:H144)</f>
        <v>0</v>
      </c>
      <c r="I145" s="35">
        <f t="shared" ref="I145" si="113">SUM(I115:I144)</f>
        <v>0</v>
      </c>
      <c r="J145" s="35">
        <f t="shared" ref="J145" si="114">SUM(J115:J144)</f>
        <v>0</v>
      </c>
      <c r="K145" s="35">
        <f t="shared" ref="K145" si="115">SUM(K115:K144)</f>
        <v>0</v>
      </c>
      <c r="L145" s="35">
        <f t="shared" ref="L145" si="116">SUM(L115:L144)</f>
        <v>0</v>
      </c>
      <c r="M145" s="35">
        <f t="shared" ref="M145" si="117">SUM(M115:M144)</f>
        <v>0</v>
      </c>
      <c r="N145" s="35">
        <f t="shared" ref="N145" si="118">SUM(N115:N144)</f>
        <v>0</v>
      </c>
      <c r="O145" s="35">
        <f t="shared" ref="O145" si="119">SUM(O115:O144)</f>
        <v>0</v>
      </c>
      <c r="P145" s="35">
        <f t="shared" ref="P145" si="120">SUM(P115:P144)</f>
        <v>0</v>
      </c>
      <c r="Q145" s="35">
        <f t="shared" ref="Q145" si="121">SUM(Q115:Q144)</f>
        <v>0</v>
      </c>
      <c r="R145" s="35">
        <f t="shared" ref="R145" si="122">SUM(R115:R144)</f>
        <v>0</v>
      </c>
      <c r="S145" s="35">
        <f t="shared" ref="S145" si="123">SUM(S115:S144)</f>
        <v>0</v>
      </c>
      <c r="T145" s="35">
        <f t="shared" ref="T145" si="124">SUM(T115:T144)</f>
        <v>0</v>
      </c>
      <c r="U145" s="35">
        <f t="shared" ref="U145" si="125">SUM(U115:U144)</f>
        <v>0</v>
      </c>
      <c r="V145" s="35">
        <f t="shared" ref="V145" si="126">SUM(V115:V144)</f>
        <v>0</v>
      </c>
      <c r="W145" s="35">
        <f t="shared" ref="W145" si="127">SUM(W115:W144)</f>
        <v>0</v>
      </c>
      <c r="X145" s="35">
        <f t="shared" ref="X145" si="128">SUM(X115:X144)</f>
        <v>0</v>
      </c>
      <c r="Y145" s="35">
        <f t="shared" ref="Y145" si="129">SUM(Y115:Y144)</f>
        <v>0</v>
      </c>
      <c r="Z145" s="35">
        <f t="shared" ref="Z145" si="130">SUM(Z115:Z144)</f>
        <v>0</v>
      </c>
      <c r="AA145" s="35">
        <f t="shared" ref="AA145" si="131">SUM(AA115:AA144)</f>
        <v>0</v>
      </c>
      <c r="AB145" s="35">
        <f t="shared" ref="AB145" si="132">SUM(AB115:AB144)</f>
        <v>0</v>
      </c>
      <c r="AC145" s="35">
        <f t="shared" ref="AC145" si="133">SUM(AC115:AC144)</f>
        <v>0</v>
      </c>
      <c r="AD145" s="35">
        <f t="shared" ref="AD145" si="134">SUM(AD115:AD144)</f>
        <v>0</v>
      </c>
      <c r="AE145" s="35">
        <f t="shared" ref="AE145" si="135">SUM(AE115:AE144)</f>
        <v>0</v>
      </c>
      <c r="AF145" s="35">
        <f t="shared" ref="AF145" si="136">SUM(AF115:AF144)</f>
        <v>0</v>
      </c>
      <c r="AG145" s="35">
        <f t="shared" ref="AG145" si="137">SUM(AG115:AG144)</f>
        <v>0</v>
      </c>
      <c r="AH145" s="35">
        <f t="shared" ref="AH145" si="138">SUM(AH115:AH144)</f>
        <v>0</v>
      </c>
      <c r="AI145" s="36">
        <f t="shared" ref="AI145" si="139">SUM(AI115:AI144)</f>
        <v>0</v>
      </c>
    </row>
    <row r="146" spans="1:35">
      <c r="A146" s="10"/>
      <c r="B146" s="11" t="s">
        <v>69</v>
      </c>
      <c r="C146" s="27">
        <f>C145+C114</f>
        <v>0</v>
      </c>
      <c r="D146" s="27">
        <f t="shared" ref="D146" si="140">D145+D114</f>
        <v>0</v>
      </c>
      <c r="E146" s="27">
        <f t="shared" ref="E146" si="141">E145+E114</f>
        <v>0</v>
      </c>
      <c r="F146" s="27">
        <f t="shared" ref="F146" si="142">F145+F114</f>
        <v>0</v>
      </c>
      <c r="G146" s="27">
        <f t="shared" ref="G146" si="143">G145+G114</f>
        <v>0</v>
      </c>
      <c r="H146" s="27">
        <f t="shared" ref="H146" si="144">H145+H114</f>
        <v>0</v>
      </c>
      <c r="I146" s="27">
        <f t="shared" ref="I146" si="145">I145+I114</f>
        <v>0</v>
      </c>
      <c r="J146" s="27">
        <f t="shared" ref="J146" si="146">J145+J114</f>
        <v>0</v>
      </c>
      <c r="K146" s="27">
        <f t="shared" ref="K146" si="147">K145+K114</f>
        <v>0</v>
      </c>
      <c r="L146" s="27">
        <f t="shared" ref="L146" si="148">L145+L114</f>
        <v>0</v>
      </c>
      <c r="M146" s="27">
        <f t="shared" ref="M146" si="149">M145+M114</f>
        <v>0</v>
      </c>
      <c r="N146" s="27">
        <f t="shared" ref="N146" si="150">N145+N114</f>
        <v>0</v>
      </c>
      <c r="O146" s="27">
        <f t="shared" ref="O146" si="151">O145+O114</f>
        <v>0</v>
      </c>
      <c r="P146" s="27">
        <f t="shared" ref="P146" si="152">P145+P114</f>
        <v>0</v>
      </c>
      <c r="Q146" s="27">
        <f t="shared" ref="Q146" si="153">Q145+Q114</f>
        <v>0</v>
      </c>
      <c r="R146" s="27">
        <f t="shared" ref="R146" si="154">R145+R114</f>
        <v>0</v>
      </c>
      <c r="S146" s="27">
        <f t="shared" ref="S146" si="155">S145+S114</f>
        <v>0</v>
      </c>
      <c r="T146" s="27">
        <f t="shared" ref="T146" si="156">T145+T114</f>
        <v>0</v>
      </c>
      <c r="U146" s="27">
        <f t="shared" ref="U146" si="157">U145+U114</f>
        <v>0</v>
      </c>
      <c r="V146" s="27">
        <f t="shared" ref="V146" si="158">V145+V114</f>
        <v>0</v>
      </c>
      <c r="W146" s="27">
        <f t="shared" ref="W146" si="159">W145+W114</f>
        <v>0</v>
      </c>
      <c r="X146" s="27">
        <f t="shared" ref="X146" si="160">X145+X114</f>
        <v>0</v>
      </c>
      <c r="Y146" s="27">
        <f t="shared" ref="Y146" si="161">Y145+Y114</f>
        <v>0</v>
      </c>
      <c r="Z146" s="27">
        <f t="shared" ref="Z146" si="162">Z145+Z114</f>
        <v>0</v>
      </c>
      <c r="AA146" s="27">
        <f t="shared" ref="AA146" si="163">AA145+AA114</f>
        <v>0</v>
      </c>
      <c r="AB146" s="27">
        <f t="shared" ref="AB146" si="164">AB145+AB114</f>
        <v>0</v>
      </c>
      <c r="AC146" s="27">
        <f t="shared" ref="AC146" si="165">AC145+AC114</f>
        <v>0</v>
      </c>
      <c r="AD146" s="27">
        <f t="shared" ref="AD146" si="166">AD145+AD114</f>
        <v>0</v>
      </c>
      <c r="AE146" s="27">
        <f t="shared" ref="AE146" si="167">AE145+AE114</f>
        <v>0</v>
      </c>
      <c r="AF146" s="27">
        <f t="shared" ref="AF146" si="168">AF145+AF114</f>
        <v>0</v>
      </c>
      <c r="AG146" s="27">
        <f t="shared" ref="AG146" si="169">AG145+AG114</f>
        <v>0</v>
      </c>
      <c r="AH146" s="27">
        <f t="shared" ref="AH146" si="170">AH145+AH114</f>
        <v>0</v>
      </c>
      <c r="AI146" s="38">
        <f>AI145+AI114</f>
        <v>0</v>
      </c>
    </row>
    <row r="147" spans="1:35" ht="13">
      <c r="A147" s="10"/>
      <c r="B147" s="34" t="s">
        <v>72</v>
      </c>
      <c r="C147" s="43">
        <v>0</v>
      </c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0</v>
      </c>
      <c r="AA147" s="43">
        <v>0</v>
      </c>
      <c r="AB147" s="43">
        <v>0</v>
      </c>
      <c r="AC147" s="43">
        <v>0</v>
      </c>
      <c r="AD147" s="43">
        <v>0</v>
      </c>
      <c r="AE147" s="43">
        <v>0</v>
      </c>
      <c r="AF147" s="43">
        <v>0</v>
      </c>
      <c r="AG147" s="43">
        <v>0</v>
      </c>
      <c r="AH147" s="43">
        <v>0</v>
      </c>
      <c r="AI147" s="38">
        <f>SUM(C147:AH147)</f>
        <v>0</v>
      </c>
    </row>
    <row r="148" spans="1:35" ht="5" customHeight="1">
      <c r="A148" s="10"/>
      <c r="AI148" s="39"/>
    </row>
    <row r="149" spans="1:35" ht="13">
      <c r="A149" s="40"/>
      <c r="B149" s="12" t="s">
        <v>75</v>
      </c>
      <c r="C149" s="41">
        <f>C146-C147</f>
        <v>0</v>
      </c>
      <c r="D149" s="41">
        <f t="shared" ref="D149:AI149" si="171">D146-D147</f>
        <v>0</v>
      </c>
      <c r="E149" s="41">
        <f t="shared" si="171"/>
        <v>0</v>
      </c>
      <c r="F149" s="41">
        <f t="shared" si="171"/>
        <v>0</v>
      </c>
      <c r="G149" s="41">
        <f t="shared" si="171"/>
        <v>0</v>
      </c>
      <c r="H149" s="41">
        <f t="shared" si="171"/>
        <v>0</v>
      </c>
      <c r="I149" s="41">
        <f t="shared" si="171"/>
        <v>0</v>
      </c>
      <c r="J149" s="41">
        <f t="shared" si="171"/>
        <v>0</v>
      </c>
      <c r="K149" s="41">
        <f t="shared" si="171"/>
        <v>0</v>
      </c>
      <c r="L149" s="41">
        <f t="shared" si="171"/>
        <v>0</v>
      </c>
      <c r="M149" s="41">
        <f t="shared" si="171"/>
        <v>0</v>
      </c>
      <c r="N149" s="41">
        <f t="shared" si="171"/>
        <v>0</v>
      </c>
      <c r="O149" s="41">
        <f t="shared" si="171"/>
        <v>0</v>
      </c>
      <c r="P149" s="41">
        <f t="shared" si="171"/>
        <v>0</v>
      </c>
      <c r="Q149" s="41">
        <f t="shared" si="171"/>
        <v>0</v>
      </c>
      <c r="R149" s="41">
        <f t="shared" si="171"/>
        <v>0</v>
      </c>
      <c r="S149" s="41">
        <f t="shared" si="171"/>
        <v>0</v>
      </c>
      <c r="T149" s="41">
        <f t="shared" si="171"/>
        <v>0</v>
      </c>
      <c r="U149" s="41">
        <f t="shared" si="171"/>
        <v>0</v>
      </c>
      <c r="V149" s="41">
        <f t="shared" si="171"/>
        <v>0</v>
      </c>
      <c r="W149" s="41">
        <f t="shared" si="171"/>
        <v>0</v>
      </c>
      <c r="X149" s="41">
        <f t="shared" si="171"/>
        <v>0</v>
      </c>
      <c r="Y149" s="41">
        <f t="shared" si="171"/>
        <v>0</v>
      </c>
      <c r="Z149" s="41">
        <f t="shared" si="171"/>
        <v>0</v>
      </c>
      <c r="AA149" s="41">
        <f t="shared" si="171"/>
        <v>0</v>
      </c>
      <c r="AB149" s="41">
        <f t="shared" si="171"/>
        <v>0</v>
      </c>
      <c r="AC149" s="41">
        <f t="shared" si="171"/>
        <v>0</v>
      </c>
      <c r="AD149" s="41">
        <f t="shared" si="171"/>
        <v>0</v>
      </c>
      <c r="AE149" s="41">
        <f t="shared" si="171"/>
        <v>0</v>
      </c>
      <c r="AF149" s="41">
        <f t="shared" si="171"/>
        <v>0</v>
      </c>
      <c r="AG149" s="41">
        <f t="shared" si="171"/>
        <v>0</v>
      </c>
      <c r="AH149" s="41">
        <f t="shared" si="171"/>
        <v>0</v>
      </c>
      <c r="AI149" s="42">
        <f t="shared" si="171"/>
        <v>0</v>
      </c>
    </row>
    <row r="150" spans="1:35" ht="8" customHeight="1"/>
    <row r="151" spans="1:35" ht="13">
      <c r="A151" s="33"/>
      <c r="B151" s="34" t="s">
        <v>70</v>
      </c>
      <c r="C151" s="35">
        <f>C147</f>
        <v>0</v>
      </c>
      <c r="D151" s="35">
        <f t="shared" ref="D151:AH151" si="172">D147</f>
        <v>0</v>
      </c>
      <c r="E151" s="35">
        <f t="shared" si="172"/>
        <v>0</v>
      </c>
      <c r="F151" s="35">
        <f t="shared" si="172"/>
        <v>0</v>
      </c>
      <c r="G151" s="35">
        <f t="shared" si="172"/>
        <v>0</v>
      </c>
      <c r="H151" s="35">
        <f t="shared" si="172"/>
        <v>0</v>
      </c>
      <c r="I151" s="35">
        <f t="shared" si="172"/>
        <v>0</v>
      </c>
      <c r="J151" s="35">
        <f t="shared" si="172"/>
        <v>0</v>
      </c>
      <c r="K151" s="35">
        <f t="shared" si="172"/>
        <v>0</v>
      </c>
      <c r="L151" s="35">
        <f t="shared" si="172"/>
        <v>0</v>
      </c>
      <c r="M151" s="35">
        <f t="shared" si="172"/>
        <v>0</v>
      </c>
      <c r="N151" s="35">
        <f t="shared" si="172"/>
        <v>0</v>
      </c>
      <c r="O151" s="35">
        <f t="shared" si="172"/>
        <v>0</v>
      </c>
      <c r="P151" s="35">
        <f t="shared" si="172"/>
        <v>0</v>
      </c>
      <c r="Q151" s="35">
        <f t="shared" si="172"/>
        <v>0</v>
      </c>
      <c r="R151" s="35">
        <f t="shared" si="172"/>
        <v>0</v>
      </c>
      <c r="S151" s="35">
        <f t="shared" si="172"/>
        <v>0</v>
      </c>
      <c r="T151" s="35">
        <f t="shared" si="172"/>
        <v>0</v>
      </c>
      <c r="U151" s="35">
        <f t="shared" si="172"/>
        <v>0</v>
      </c>
      <c r="V151" s="35">
        <f t="shared" si="172"/>
        <v>0</v>
      </c>
      <c r="W151" s="35">
        <f t="shared" si="172"/>
        <v>0</v>
      </c>
      <c r="X151" s="35">
        <f t="shared" si="172"/>
        <v>0</v>
      </c>
      <c r="Y151" s="35">
        <f t="shared" si="172"/>
        <v>0</v>
      </c>
      <c r="Z151" s="35">
        <f t="shared" si="172"/>
        <v>0</v>
      </c>
      <c r="AA151" s="35">
        <f t="shared" si="172"/>
        <v>0</v>
      </c>
      <c r="AB151" s="35">
        <f t="shared" si="172"/>
        <v>0</v>
      </c>
      <c r="AC151" s="35">
        <f t="shared" si="172"/>
        <v>0</v>
      </c>
      <c r="AD151" s="35">
        <f t="shared" si="172"/>
        <v>0</v>
      </c>
      <c r="AE151" s="35">
        <f t="shared" si="172"/>
        <v>0</v>
      </c>
      <c r="AF151" s="35">
        <f t="shared" si="172"/>
        <v>0</v>
      </c>
      <c r="AG151" s="35">
        <f t="shared" si="172"/>
        <v>0</v>
      </c>
      <c r="AH151" s="35">
        <f t="shared" si="172"/>
        <v>0</v>
      </c>
      <c r="AI151" s="36">
        <f>SUM(C151:AH151)</f>
        <v>0</v>
      </c>
    </row>
    <row r="152" spans="1:35">
      <c r="A152" s="10">
        <v>1</v>
      </c>
      <c r="B152" s="11" t="s">
        <v>29</v>
      </c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36">
        <f t="shared" ref="AI152:AI181" si="173">SUM(C152:AH152)</f>
        <v>0</v>
      </c>
    </row>
    <row r="153" spans="1:35">
      <c r="A153" s="10">
        <v>2</v>
      </c>
      <c r="B153" s="11" t="s">
        <v>30</v>
      </c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36">
        <f t="shared" si="173"/>
        <v>0</v>
      </c>
    </row>
    <row r="154" spans="1:35">
      <c r="A154" s="10">
        <v>3</v>
      </c>
      <c r="B154" s="11" t="s">
        <v>31</v>
      </c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36">
        <f t="shared" si="173"/>
        <v>0</v>
      </c>
    </row>
    <row r="155" spans="1:35">
      <c r="A155" s="10">
        <v>4</v>
      </c>
      <c r="B155" s="11" t="s">
        <v>32</v>
      </c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36">
        <f t="shared" si="173"/>
        <v>0</v>
      </c>
    </row>
    <row r="156" spans="1:35">
      <c r="A156" s="10">
        <v>5</v>
      </c>
      <c r="B156" s="11" t="s">
        <v>33</v>
      </c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36">
        <f t="shared" si="173"/>
        <v>0</v>
      </c>
    </row>
    <row r="157" spans="1:35">
      <c r="A157" s="10">
        <v>6</v>
      </c>
      <c r="B157" s="11" t="s">
        <v>34</v>
      </c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36">
        <f t="shared" si="173"/>
        <v>0</v>
      </c>
    </row>
    <row r="158" spans="1:35">
      <c r="A158" s="10">
        <v>7</v>
      </c>
      <c r="B158" s="11" t="s">
        <v>35</v>
      </c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36">
        <f t="shared" si="173"/>
        <v>0</v>
      </c>
    </row>
    <row r="159" spans="1:35">
      <c r="A159" s="10">
        <v>8</v>
      </c>
      <c r="B159" s="11" t="s">
        <v>36</v>
      </c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36">
        <f t="shared" si="173"/>
        <v>0</v>
      </c>
    </row>
    <row r="160" spans="1:35">
      <c r="A160" s="10">
        <v>9</v>
      </c>
      <c r="B160" s="11" t="s">
        <v>37</v>
      </c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36">
        <f t="shared" si="173"/>
        <v>0</v>
      </c>
    </row>
    <row r="161" spans="1:35">
      <c r="A161" s="10">
        <v>10</v>
      </c>
      <c r="B161" s="11" t="s">
        <v>38</v>
      </c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36">
        <f t="shared" si="173"/>
        <v>0</v>
      </c>
    </row>
    <row r="162" spans="1:35">
      <c r="A162" s="10">
        <v>11</v>
      </c>
      <c r="B162" s="11" t="s">
        <v>39</v>
      </c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36">
        <f t="shared" si="173"/>
        <v>0</v>
      </c>
    </row>
    <row r="163" spans="1:35">
      <c r="A163" s="10">
        <v>12</v>
      </c>
      <c r="B163" s="11" t="s">
        <v>40</v>
      </c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36">
        <f t="shared" si="173"/>
        <v>0</v>
      </c>
    </row>
    <row r="164" spans="1:35">
      <c r="A164" s="10">
        <v>13</v>
      </c>
      <c r="B164" s="11" t="s">
        <v>41</v>
      </c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36">
        <f t="shared" si="173"/>
        <v>0</v>
      </c>
    </row>
    <row r="165" spans="1:35">
      <c r="A165" s="10">
        <v>14</v>
      </c>
      <c r="B165" s="11" t="s">
        <v>42</v>
      </c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36">
        <f t="shared" si="173"/>
        <v>0</v>
      </c>
    </row>
    <row r="166" spans="1:35">
      <c r="A166" s="10">
        <v>15</v>
      </c>
      <c r="B166" s="11" t="s">
        <v>43</v>
      </c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36">
        <f t="shared" si="173"/>
        <v>0</v>
      </c>
    </row>
    <row r="167" spans="1:35">
      <c r="A167" s="10">
        <v>16</v>
      </c>
      <c r="B167" s="11" t="s">
        <v>44</v>
      </c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36">
        <f t="shared" si="173"/>
        <v>0</v>
      </c>
    </row>
    <row r="168" spans="1:35">
      <c r="A168" s="10">
        <v>17</v>
      </c>
      <c r="B168" s="11" t="s">
        <v>45</v>
      </c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36">
        <f t="shared" si="173"/>
        <v>0</v>
      </c>
    </row>
    <row r="169" spans="1:35">
      <c r="A169" s="10">
        <v>18</v>
      </c>
      <c r="B169" s="11" t="s">
        <v>46</v>
      </c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36">
        <f t="shared" si="173"/>
        <v>0</v>
      </c>
    </row>
    <row r="170" spans="1:35">
      <c r="A170" s="10">
        <v>19</v>
      </c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36">
        <f t="shared" si="173"/>
        <v>0</v>
      </c>
    </row>
    <row r="171" spans="1:35">
      <c r="A171" s="10">
        <v>20</v>
      </c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36">
        <f t="shared" si="173"/>
        <v>0</v>
      </c>
    </row>
    <row r="172" spans="1:35">
      <c r="A172" s="10">
        <v>21</v>
      </c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36">
        <f t="shared" si="173"/>
        <v>0</v>
      </c>
    </row>
    <row r="173" spans="1:35">
      <c r="A173" s="10">
        <v>22</v>
      </c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36">
        <f t="shared" si="173"/>
        <v>0</v>
      </c>
    </row>
    <row r="174" spans="1:35">
      <c r="A174" s="10">
        <v>23</v>
      </c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36">
        <f t="shared" si="173"/>
        <v>0</v>
      </c>
    </row>
    <row r="175" spans="1:35">
      <c r="A175" s="10">
        <v>24</v>
      </c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36">
        <f t="shared" si="173"/>
        <v>0</v>
      </c>
    </row>
    <row r="176" spans="1:35">
      <c r="A176" s="10">
        <v>25</v>
      </c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36">
        <f t="shared" si="173"/>
        <v>0</v>
      </c>
    </row>
    <row r="177" spans="1:35">
      <c r="A177" s="10">
        <v>26</v>
      </c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36">
        <f t="shared" si="173"/>
        <v>0</v>
      </c>
    </row>
    <row r="178" spans="1:35">
      <c r="A178" s="10">
        <v>27</v>
      </c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36">
        <f t="shared" si="173"/>
        <v>0</v>
      </c>
    </row>
    <row r="179" spans="1:35">
      <c r="A179" s="10">
        <v>28</v>
      </c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36">
        <f t="shared" si="173"/>
        <v>0</v>
      </c>
    </row>
    <row r="180" spans="1:35">
      <c r="A180" s="10">
        <v>29</v>
      </c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36">
        <f t="shared" si="173"/>
        <v>0</v>
      </c>
    </row>
    <row r="181" spans="1:35">
      <c r="A181" s="10">
        <v>30</v>
      </c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36">
        <f t="shared" si="173"/>
        <v>0</v>
      </c>
    </row>
    <row r="182" spans="1:35" ht="13">
      <c r="A182" s="33"/>
      <c r="B182" s="34" t="s">
        <v>68</v>
      </c>
      <c r="C182" s="35">
        <f>SUM(C152:C181)</f>
        <v>0</v>
      </c>
      <c r="D182" s="35">
        <f t="shared" ref="D182" si="174">SUM(D152:D181)</f>
        <v>0</v>
      </c>
      <c r="E182" s="35">
        <f t="shared" ref="E182" si="175">SUM(E152:E181)</f>
        <v>0</v>
      </c>
      <c r="F182" s="35">
        <f t="shared" ref="F182" si="176">SUM(F152:F181)</f>
        <v>0</v>
      </c>
      <c r="G182" s="35">
        <f t="shared" ref="G182" si="177">SUM(G152:G181)</f>
        <v>0</v>
      </c>
      <c r="H182" s="35">
        <f t="shared" ref="H182" si="178">SUM(H152:H181)</f>
        <v>0</v>
      </c>
      <c r="I182" s="35">
        <f t="shared" ref="I182" si="179">SUM(I152:I181)</f>
        <v>0</v>
      </c>
      <c r="J182" s="35">
        <f t="shared" ref="J182" si="180">SUM(J152:J181)</f>
        <v>0</v>
      </c>
      <c r="K182" s="35">
        <f t="shared" ref="K182" si="181">SUM(K152:K181)</f>
        <v>0</v>
      </c>
      <c r="L182" s="35">
        <f t="shared" ref="L182" si="182">SUM(L152:L181)</f>
        <v>0</v>
      </c>
      <c r="M182" s="35">
        <f t="shared" ref="M182" si="183">SUM(M152:M181)</f>
        <v>0</v>
      </c>
      <c r="N182" s="35">
        <f t="shared" ref="N182" si="184">SUM(N152:N181)</f>
        <v>0</v>
      </c>
      <c r="O182" s="35">
        <f t="shared" ref="O182" si="185">SUM(O152:O181)</f>
        <v>0</v>
      </c>
      <c r="P182" s="35">
        <f t="shared" ref="P182" si="186">SUM(P152:P181)</f>
        <v>0</v>
      </c>
      <c r="Q182" s="35">
        <f t="shared" ref="Q182" si="187">SUM(Q152:Q181)</f>
        <v>0</v>
      </c>
      <c r="R182" s="35">
        <f t="shared" ref="R182" si="188">SUM(R152:R181)</f>
        <v>0</v>
      </c>
      <c r="S182" s="35">
        <f t="shared" ref="S182" si="189">SUM(S152:S181)</f>
        <v>0</v>
      </c>
      <c r="T182" s="35">
        <f t="shared" ref="T182" si="190">SUM(T152:T181)</f>
        <v>0</v>
      </c>
      <c r="U182" s="35">
        <f t="shared" ref="U182" si="191">SUM(U152:U181)</f>
        <v>0</v>
      </c>
      <c r="V182" s="35">
        <f t="shared" ref="V182" si="192">SUM(V152:V181)</f>
        <v>0</v>
      </c>
      <c r="W182" s="35">
        <f t="shared" ref="W182" si="193">SUM(W152:W181)</f>
        <v>0</v>
      </c>
      <c r="X182" s="35">
        <f t="shared" ref="X182" si="194">SUM(X152:X181)</f>
        <v>0</v>
      </c>
      <c r="Y182" s="35">
        <f t="shared" ref="Y182" si="195">SUM(Y152:Y181)</f>
        <v>0</v>
      </c>
      <c r="Z182" s="35">
        <f t="shared" ref="Z182" si="196">SUM(Z152:Z181)</f>
        <v>0</v>
      </c>
      <c r="AA182" s="35">
        <f t="shared" ref="AA182" si="197">SUM(AA152:AA181)</f>
        <v>0</v>
      </c>
      <c r="AB182" s="35">
        <f t="shared" ref="AB182" si="198">SUM(AB152:AB181)</f>
        <v>0</v>
      </c>
      <c r="AC182" s="35">
        <f t="shared" ref="AC182" si="199">SUM(AC152:AC181)</f>
        <v>0</v>
      </c>
      <c r="AD182" s="35">
        <f t="shared" ref="AD182" si="200">SUM(AD152:AD181)</f>
        <v>0</v>
      </c>
      <c r="AE182" s="35">
        <f t="shared" ref="AE182" si="201">SUM(AE152:AE181)</f>
        <v>0</v>
      </c>
      <c r="AF182" s="35">
        <f t="shared" ref="AF182" si="202">SUM(AF152:AF181)</f>
        <v>0</v>
      </c>
      <c r="AG182" s="35">
        <f t="shared" ref="AG182" si="203">SUM(AG152:AG181)</f>
        <v>0</v>
      </c>
      <c r="AH182" s="35">
        <f t="shared" ref="AH182" si="204">SUM(AH152:AH181)</f>
        <v>0</v>
      </c>
      <c r="AI182" s="36">
        <f t="shared" ref="AI182" si="205">SUM(AI152:AI181)</f>
        <v>0</v>
      </c>
    </row>
    <row r="183" spans="1:35">
      <c r="A183" s="10"/>
      <c r="B183" s="11" t="s">
        <v>69</v>
      </c>
      <c r="C183" s="27">
        <f>C182+C151</f>
        <v>0</v>
      </c>
      <c r="D183" s="27">
        <f t="shared" ref="D183" si="206">D182+D151</f>
        <v>0</v>
      </c>
      <c r="E183" s="27">
        <f t="shared" ref="E183" si="207">E182+E151</f>
        <v>0</v>
      </c>
      <c r="F183" s="27">
        <f t="shared" ref="F183" si="208">F182+F151</f>
        <v>0</v>
      </c>
      <c r="G183" s="27">
        <f t="shared" ref="G183" si="209">G182+G151</f>
        <v>0</v>
      </c>
      <c r="H183" s="27">
        <f t="shared" ref="H183" si="210">H182+H151</f>
        <v>0</v>
      </c>
      <c r="I183" s="27">
        <f t="shared" ref="I183" si="211">I182+I151</f>
        <v>0</v>
      </c>
      <c r="J183" s="27">
        <f t="shared" ref="J183" si="212">J182+J151</f>
        <v>0</v>
      </c>
      <c r="K183" s="27">
        <f t="shared" ref="K183" si="213">K182+K151</f>
        <v>0</v>
      </c>
      <c r="L183" s="27">
        <f t="shared" ref="L183" si="214">L182+L151</f>
        <v>0</v>
      </c>
      <c r="M183" s="27">
        <f t="shared" ref="M183" si="215">M182+M151</f>
        <v>0</v>
      </c>
      <c r="N183" s="27">
        <f t="shared" ref="N183" si="216">N182+N151</f>
        <v>0</v>
      </c>
      <c r="O183" s="27">
        <f t="shared" ref="O183" si="217">O182+O151</f>
        <v>0</v>
      </c>
      <c r="P183" s="27">
        <f t="shared" ref="P183" si="218">P182+P151</f>
        <v>0</v>
      </c>
      <c r="Q183" s="27">
        <f t="shared" ref="Q183" si="219">Q182+Q151</f>
        <v>0</v>
      </c>
      <c r="R183" s="27">
        <f t="shared" ref="R183" si="220">R182+R151</f>
        <v>0</v>
      </c>
      <c r="S183" s="27">
        <f t="shared" ref="S183" si="221">S182+S151</f>
        <v>0</v>
      </c>
      <c r="T183" s="27">
        <f t="shared" ref="T183" si="222">T182+T151</f>
        <v>0</v>
      </c>
      <c r="U183" s="27">
        <f t="shared" ref="U183" si="223">U182+U151</f>
        <v>0</v>
      </c>
      <c r="V183" s="27">
        <f t="shared" ref="V183" si="224">V182+V151</f>
        <v>0</v>
      </c>
      <c r="W183" s="27">
        <f t="shared" ref="W183" si="225">W182+W151</f>
        <v>0</v>
      </c>
      <c r="X183" s="27">
        <f t="shared" ref="X183" si="226">X182+X151</f>
        <v>0</v>
      </c>
      <c r="Y183" s="27">
        <f t="shared" ref="Y183" si="227">Y182+Y151</f>
        <v>0</v>
      </c>
      <c r="Z183" s="27">
        <f t="shared" ref="Z183" si="228">Z182+Z151</f>
        <v>0</v>
      </c>
      <c r="AA183" s="27">
        <f t="shared" ref="AA183" si="229">AA182+AA151</f>
        <v>0</v>
      </c>
      <c r="AB183" s="27">
        <f t="shared" ref="AB183" si="230">AB182+AB151</f>
        <v>0</v>
      </c>
      <c r="AC183" s="27">
        <f t="shared" ref="AC183" si="231">AC182+AC151</f>
        <v>0</v>
      </c>
      <c r="AD183" s="27">
        <f t="shared" ref="AD183" si="232">AD182+AD151</f>
        <v>0</v>
      </c>
      <c r="AE183" s="27">
        <f t="shared" ref="AE183" si="233">AE182+AE151</f>
        <v>0</v>
      </c>
      <c r="AF183" s="27">
        <f t="shared" ref="AF183" si="234">AF182+AF151</f>
        <v>0</v>
      </c>
      <c r="AG183" s="27">
        <f t="shared" ref="AG183" si="235">AG182+AG151</f>
        <v>0</v>
      </c>
      <c r="AH183" s="27">
        <f t="shared" ref="AH183" si="236">AH182+AH151</f>
        <v>0</v>
      </c>
      <c r="AI183" s="38">
        <f>AI182+AI151</f>
        <v>0</v>
      </c>
    </row>
    <row r="184" spans="1:35" ht="13">
      <c r="A184" s="10"/>
      <c r="B184" s="34" t="s">
        <v>72</v>
      </c>
      <c r="C184" s="43">
        <v>0</v>
      </c>
      <c r="D184" s="43">
        <v>0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43"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0</v>
      </c>
      <c r="Y184" s="43">
        <v>0</v>
      </c>
      <c r="Z184" s="43">
        <v>0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38">
        <f>SUM(C184:AH184)</f>
        <v>0</v>
      </c>
    </row>
    <row r="185" spans="1:35" ht="5" customHeight="1">
      <c r="A185" s="10"/>
      <c r="AI185" s="39"/>
    </row>
    <row r="186" spans="1:35" ht="13">
      <c r="A186" s="40"/>
      <c r="B186" s="12" t="s">
        <v>76</v>
      </c>
      <c r="C186" s="41">
        <f>C183-C184</f>
        <v>0</v>
      </c>
      <c r="D186" s="41">
        <f t="shared" ref="D186:AI186" si="237">D183-D184</f>
        <v>0</v>
      </c>
      <c r="E186" s="41">
        <f t="shared" si="237"/>
        <v>0</v>
      </c>
      <c r="F186" s="41">
        <f t="shared" si="237"/>
        <v>0</v>
      </c>
      <c r="G186" s="41">
        <f t="shared" si="237"/>
        <v>0</v>
      </c>
      <c r="H186" s="41">
        <f t="shared" si="237"/>
        <v>0</v>
      </c>
      <c r="I186" s="41">
        <f t="shared" si="237"/>
        <v>0</v>
      </c>
      <c r="J186" s="41">
        <f t="shared" si="237"/>
        <v>0</v>
      </c>
      <c r="K186" s="41">
        <f t="shared" si="237"/>
        <v>0</v>
      </c>
      <c r="L186" s="41">
        <f t="shared" si="237"/>
        <v>0</v>
      </c>
      <c r="M186" s="41">
        <f t="shared" si="237"/>
        <v>0</v>
      </c>
      <c r="N186" s="41">
        <f t="shared" si="237"/>
        <v>0</v>
      </c>
      <c r="O186" s="41">
        <f t="shared" si="237"/>
        <v>0</v>
      </c>
      <c r="P186" s="41">
        <f t="shared" si="237"/>
        <v>0</v>
      </c>
      <c r="Q186" s="41">
        <f t="shared" si="237"/>
        <v>0</v>
      </c>
      <c r="R186" s="41">
        <f t="shared" si="237"/>
        <v>0</v>
      </c>
      <c r="S186" s="41">
        <f t="shared" si="237"/>
        <v>0</v>
      </c>
      <c r="T186" s="41">
        <f t="shared" si="237"/>
        <v>0</v>
      </c>
      <c r="U186" s="41">
        <f t="shared" si="237"/>
        <v>0</v>
      </c>
      <c r="V186" s="41">
        <f t="shared" si="237"/>
        <v>0</v>
      </c>
      <c r="W186" s="41">
        <f t="shared" si="237"/>
        <v>0</v>
      </c>
      <c r="X186" s="41">
        <f t="shared" si="237"/>
        <v>0</v>
      </c>
      <c r="Y186" s="41">
        <f t="shared" si="237"/>
        <v>0</v>
      </c>
      <c r="Z186" s="41">
        <f t="shared" si="237"/>
        <v>0</v>
      </c>
      <c r="AA186" s="41">
        <f t="shared" si="237"/>
        <v>0</v>
      </c>
      <c r="AB186" s="41">
        <f t="shared" si="237"/>
        <v>0</v>
      </c>
      <c r="AC186" s="41">
        <f t="shared" si="237"/>
        <v>0</v>
      </c>
      <c r="AD186" s="41">
        <f t="shared" si="237"/>
        <v>0</v>
      </c>
      <c r="AE186" s="41">
        <f t="shared" si="237"/>
        <v>0</v>
      </c>
      <c r="AF186" s="41">
        <f t="shared" si="237"/>
        <v>0</v>
      </c>
      <c r="AG186" s="41">
        <f t="shared" si="237"/>
        <v>0</v>
      </c>
      <c r="AH186" s="41">
        <f t="shared" si="237"/>
        <v>0</v>
      </c>
      <c r="AI186" s="42">
        <f t="shared" si="237"/>
        <v>0</v>
      </c>
    </row>
    <row r="187" spans="1:35" ht="8" customHeight="1"/>
    <row r="188" spans="1:35" ht="13">
      <c r="A188" s="33"/>
      <c r="B188" s="34" t="s">
        <v>70</v>
      </c>
      <c r="C188" s="35">
        <f>C184</f>
        <v>0</v>
      </c>
      <c r="D188" s="35">
        <f t="shared" ref="D188:AH188" si="238">D184</f>
        <v>0</v>
      </c>
      <c r="E188" s="35">
        <f t="shared" si="238"/>
        <v>0</v>
      </c>
      <c r="F188" s="35">
        <f t="shared" si="238"/>
        <v>0</v>
      </c>
      <c r="G188" s="35">
        <f t="shared" si="238"/>
        <v>0</v>
      </c>
      <c r="H188" s="35">
        <f t="shared" si="238"/>
        <v>0</v>
      </c>
      <c r="I188" s="35">
        <f t="shared" si="238"/>
        <v>0</v>
      </c>
      <c r="J188" s="35">
        <f t="shared" si="238"/>
        <v>0</v>
      </c>
      <c r="K188" s="35">
        <f t="shared" si="238"/>
        <v>0</v>
      </c>
      <c r="L188" s="35">
        <f t="shared" si="238"/>
        <v>0</v>
      </c>
      <c r="M188" s="35">
        <f t="shared" si="238"/>
        <v>0</v>
      </c>
      <c r="N188" s="35">
        <f t="shared" si="238"/>
        <v>0</v>
      </c>
      <c r="O188" s="35">
        <f t="shared" si="238"/>
        <v>0</v>
      </c>
      <c r="P188" s="35">
        <f t="shared" si="238"/>
        <v>0</v>
      </c>
      <c r="Q188" s="35">
        <f t="shared" si="238"/>
        <v>0</v>
      </c>
      <c r="R188" s="35">
        <f t="shared" si="238"/>
        <v>0</v>
      </c>
      <c r="S188" s="35">
        <f t="shared" si="238"/>
        <v>0</v>
      </c>
      <c r="T188" s="35">
        <f t="shared" si="238"/>
        <v>0</v>
      </c>
      <c r="U188" s="35">
        <f t="shared" si="238"/>
        <v>0</v>
      </c>
      <c r="V188" s="35">
        <f t="shared" si="238"/>
        <v>0</v>
      </c>
      <c r="W188" s="35">
        <f t="shared" si="238"/>
        <v>0</v>
      </c>
      <c r="X188" s="35">
        <f t="shared" si="238"/>
        <v>0</v>
      </c>
      <c r="Y188" s="35">
        <f t="shared" si="238"/>
        <v>0</v>
      </c>
      <c r="Z188" s="35">
        <f t="shared" si="238"/>
        <v>0</v>
      </c>
      <c r="AA188" s="35">
        <f t="shared" si="238"/>
        <v>0</v>
      </c>
      <c r="AB188" s="35">
        <f t="shared" si="238"/>
        <v>0</v>
      </c>
      <c r="AC188" s="35">
        <f t="shared" si="238"/>
        <v>0</v>
      </c>
      <c r="AD188" s="35">
        <f t="shared" si="238"/>
        <v>0</v>
      </c>
      <c r="AE188" s="35">
        <f t="shared" si="238"/>
        <v>0</v>
      </c>
      <c r="AF188" s="35">
        <f t="shared" si="238"/>
        <v>0</v>
      </c>
      <c r="AG188" s="35">
        <f t="shared" si="238"/>
        <v>0</v>
      </c>
      <c r="AH188" s="35">
        <f t="shared" si="238"/>
        <v>0</v>
      </c>
      <c r="AI188" s="36">
        <f>SUM(C188:AH188)</f>
        <v>0</v>
      </c>
    </row>
    <row r="189" spans="1:35">
      <c r="A189" s="10">
        <v>1</v>
      </c>
      <c r="B189" s="11" t="s">
        <v>29</v>
      </c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36">
        <f t="shared" ref="AI189:AI218" si="239">SUM(C189:AH189)</f>
        <v>0</v>
      </c>
    </row>
    <row r="190" spans="1:35">
      <c r="A190" s="10">
        <v>2</v>
      </c>
      <c r="B190" s="11" t="s">
        <v>30</v>
      </c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36">
        <f t="shared" si="239"/>
        <v>0</v>
      </c>
    </row>
    <row r="191" spans="1:35">
      <c r="A191" s="10">
        <v>3</v>
      </c>
      <c r="B191" s="11" t="s">
        <v>31</v>
      </c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36">
        <f t="shared" si="239"/>
        <v>0</v>
      </c>
    </row>
    <row r="192" spans="1:35">
      <c r="A192" s="10">
        <v>4</v>
      </c>
      <c r="B192" s="11" t="s">
        <v>32</v>
      </c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36">
        <f t="shared" si="239"/>
        <v>0</v>
      </c>
    </row>
    <row r="193" spans="1:35">
      <c r="A193" s="10">
        <v>5</v>
      </c>
      <c r="B193" s="11" t="s">
        <v>33</v>
      </c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36">
        <f t="shared" si="239"/>
        <v>0</v>
      </c>
    </row>
    <row r="194" spans="1:35">
      <c r="A194" s="10">
        <v>6</v>
      </c>
      <c r="B194" s="11" t="s">
        <v>34</v>
      </c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36">
        <f t="shared" si="239"/>
        <v>0</v>
      </c>
    </row>
    <row r="195" spans="1:35">
      <c r="A195" s="10">
        <v>7</v>
      </c>
      <c r="B195" s="11" t="s">
        <v>35</v>
      </c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36">
        <f t="shared" si="239"/>
        <v>0</v>
      </c>
    </row>
    <row r="196" spans="1:35">
      <c r="A196" s="10">
        <v>8</v>
      </c>
      <c r="B196" s="11" t="s">
        <v>36</v>
      </c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36">
        <f t="shared" si="239"/>
        <v>0</v>
      </c>
    </row>
    <row r="197" spans="1:35">
      <c r="A197" s="10">
        <v>9</v>
      </c>
      <c r="B197" s="11" t="s">
        <v>37</v>
      </c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36">
        <f t="shared" si="239"/>
        <v>0</v>
      </c>
    </row>
    <row r="198" spans="1:35">
      <c r="A198" s="10">
        <v>10</v>
      </c>
      <c r="B198" s="11" t="s">
        <v>38</v>
      </c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36">
        <f t="shared" si="239"/>
        <v>0</v>
      </c>
    </row>
    <row r="199" spans="1:35">
      <c r="A199" s="10">
        <v>11</v>
      </c>
      <c r="B199" s="11" t="s">
        <v>39</v>
      </c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36">
        <f t="shared" si="239"/>
        <v>0</v>
      </c>
    </row>
    <row r="200" spans="1:35">
      <c r="A200" s="10">
        <v>12</v>
      </c>
      <c r="B200" s="11" t="s">
        <v>40</v>
      </c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36">
        <f t="shared" si="239"/>
        <v>0</v>
      </c>
    </row>
    <row r="201" spans="1:35">
      <c r="A201" s="10">
        <v>13</v>
      </c>
      <c r="B201" s="11" t="s">
        <v>41</v>
      </c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36">
        <f t="shared" si="239"/>
        <v>0</v>
      </c>
    </row>
    <row r="202" spans="1:35">
      <c r="A202" s="10">
        <v>14</v>
      </c>
      <c r="B202" s="11" t="s">
        <v>42</v>
      </c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36">
        <f t="shared" si="239"/>
        <v>0</v>
      </c>
    </row>
    <row r="203" spans="1:35">
      <c r="A203" s="10">
        <v>15</v>
      </c>
      <c r="B203" s="11" t="s">
        <v>43</v>
      </c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36">
        <f t="shared" si="239"/>
        <v>0</v>
      </c>
    </row>
    <row r="204" spans="1:35">
      <c r="A204" s="10">
        <v>16</v>
      </c>
      <c r="B204" s="11" t="s">
        <v>44</v>
      </c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36">
        <f t="shared" si="239"/>
        <v>0</v>
      </c>
    </row>
    <row r="205" spans="1:35">
      <c r="A205" s="10">
        <v>17</v>
      </c>
      <c r="B205" s="11" t="s">
        <v>45</v>
      </c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36">
        <f t="shared" si="239"/>
        <v>0</v>
      </c>
    </row>
    <row r="206" spans="1:35">
      <c r="A206" s="10">
        <v>18</v>
      </c>
      <c r="B206" s="11" t="s">
        <v>46</v>
      </c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36">
        <f t="shared" si="239"/>
        <v>0</v>
      </c>
    </row>
    <row r="207" spans="1:35">
      <c r="A207" s="10">
        <v>19</v>
      </c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36">
        <f t="shared" si="239"/>
        <v>0</v>
      </c>
    </row>
    <row r="208" spans="1:35">
      <c r="A208" s="10">
        <v>20</v>
      </c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36">
        <f t="shared" si="239"/>
        <v>0</v>
      </c>
    </row>
    <row r="209" spans="1:35">
      <c r="A209" s="10">
        <v>21</v>
      </c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36">
        <f t="shared" si="239"/>
        <v>0</v>
      </c>
    </row>
    <row r="210" spans="1:35">
      <c r="A210" s="10">
        <v>22</v>
      </c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36">
        <f t="shared" si="239"/>
        <v>0</v>
      </c>
    </row>
    <row r="211" spans="1:35">
      <c r="A211" s="10">
        <v>23</v>
      </c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36">
        <f t="shared" si="239"/>
        <v>0</v>
      </c>
    </row>
    <row r="212" spans="1:35">
      <c r="A212" s="10">
        <v>24</v>
      </c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36">
        <f t="shared" si="239"/>
        <v>0</v>
      </c>
    </row>
    <row r="213" spans="1:35">
      <c r="A213" s="10">
        <v>25</v>
      </c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36">
        <f t="shared" si="239"/>
        <v>0</v>
      </c>
    </row>
    <row r="214" spans="1:35">
      <c r="A214" s="10">
        <v>26</v>
      </c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36">
        <f t="shared" si="239"/>
        <v>0</v>
      </c>
    </row>
    <row r="215" spans="1:35">
      <c r="A215" s="10">
        <v>27</v>
      </c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36">
        <f t="shared" si="239"/>
        <v>0</v>
      </c>
    </row>
    <row r="216" spans="1:35">
      <c r="A216" s="10">
        <v>28</v>
      </c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36">
        <f t="shared" si="239"/>
        <v>0</v>
      </c>
    </row>
    <row r="217" spans="1:35">
      <c r="A217" s="10">
        <v>29</v>
      </c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36">
        <f t="shared" si="239"/>
        <v>0</v>
      </c>
    </row>
    <row r="218" spans="1:35">
      <c r="A218" s="10">
        <v>30</v>
      </c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36">
        <f t="shared" si="239"/>
        <v>0</v>
      </c>
    </row>
    <row r="219" spans="1:35" ht="13">
      <c r="A219" s="33"/>
      <c r="B219" s="34" t="s">
        <v>68</v>
      </c>
      <c r="C219" s="35">
        <f>SUM(C189:C218)</f>
        <v>0</v>
      </c>
      <c r="D219" s="35">
        <f t="shared" ref="D219" si="240">SUM(D189:D218)</f>
        <v>0</v>
      </c>
      <c r="E219" s="35">
        <f t="shared" ref="E219" si="241">SUM(E189:E218)</f>
        <v>0</v>
      </c>
      <c r="F219" s="35">
        <f t="shared" ref="F219" si="242">SUM(F189:F218)</f>
        <v>0</v>
      </c>
      <c r="G219" s="35">
        <f t="shared" ref="G219" si="243">SUM(G189:G218)</f>
        <v>0</v>
      </c>
      <c r="H219" s="35">
        <f t="shared" ref="H219" si="244">SUM(H189:H218)</f>
        <v>0</v>
      </c>
      <c r="I219" s="35">
        <f t="shared" ref="I219" si="245">SUM(I189:I218)</f>
        <v>0</v>
      </c>
      <c r="J219" s="35">
        <f t="shared" ref="J219" si="246">SUM(J189:J218)</f>
        <v>0</v>
      </c>
      <c r="K219" s="35">
        <f t="shared" ref="K219" si="247">SUM(K189:K218)</f>
        <v>0</v>
      </c>
      <c r="L219" s="35">
        <f t="shared" ref="L219" si="248">SUM(L189:L218)</f>
        <v>0</v>
      </c>
      <c r="M219" s="35">
        <f t="shared" ref="M219" si="249">SUM(M189:M218)</f>
        <v>0</v>
      </c>
      <c r="N219" s="35">
        <f t="shared" ref="N219" si="250">SUM(N189:N218)</f>
        <v>0</v>
      </c>
      <c r="O219" s="35">
        <f t="shared" ref="O219" si="251">SUM(O189:O218)</f>
        <v>0</v>
      </c>
      <c r="P219" s="35">
        <f t="shared" ref="P219" si="252">SUM(P189:P218)</f>
        <v>0</v>
      </c>
      <c r="Q219" s="35">
        <f t="shared" ref="Q219" si="253">SUM(Q189:Q218)</f>
        <v>0</v>
      </c>
      <c r="R219" s="35">
        <f t="shared" ref="R219" si="254">SUM(R189:R218)</f>
        <v>0</v>
      </c>
      <c r="S219" s="35">
        <f t="shared" ref="S219" si="255">SUM(S189:S218)</f>
        <v>0</v>
      </c>
      <c r="T219" s="35">
        <f t="shared" ref="T219" si="256">SUM(T189:T218)</f>
        <v>0</v>
      </c>
      <c r="U219" s="35">
        <f t="shared" ref="U219" si="257">SUM(U189:U218)</f>
        <v>0</v>
      </c>
      <c r="V219" s="35">
        <f t="shared" ref="V219" si="258">SUM(V189:V218)</f>
        <v>0</v>
      </c>
      <c r="W219" s="35">
        <f t="shared" ref="W219" si="259">SUM(W189:W218)</f>
        <v>0</v>
      </c>
      <c r="X219" s="35">
        <f t="shared" ref="X219" si="260">SUM(X189:X218)</f>
        <v>0</v>
      </c>
      <c r="Y219" s="35">
        <f t="shared" ref="Y219" si="261">SUM(Y189:Y218)</f>
        <v>0</v>
      </c>
      <c r="Z219" s="35">
        <f t="shared" ref="Z219" si="262">SUM(Z189:Z218)</f>
        <v>0</v>
      </c>
      <c r="AA219" s="35">
        <f t="shared" ref="AA219" si="263">SUM(AA189:AA218)</f>
        <v>0</v>
      </c>
      <c r="AB219" s="35">
        <f t="shared" ref="AB219" si="264">SUM(AB189:AB218)</f>
        <v>0</v>
      </c>
      <c r="AC219" s="35">
        <f t="shared" ref="AC219" si="265">SUM(AC189:AC218)</f>
        <v>0</v>
      </c>
      <c r="AD219" s="35">
        <f t="shared" ref="AD219" si="266">SUM(AD189:AD218)</f>
        <v>0</v>
      </c>
      <c r="AE219" s="35">
        <f t="shared" ref="AE219" si="267">SUM(AE189:AE218)</f>
        <v>0</v>
      </c>
      <c r="AF219" s="35">
        <f t="shared" ref="AF219" si="268">SUM(AF189:AF218)</f>
        <v>0</v>
      </c>
      <c r="AG219" s="35">
        <f t="shared" ref="AG219" si="269">SUM(AG189:AG218)</f>
        <v>0</v>
      </c>
      <c r="AH219" s="35">
        <f t="shared" ref="AH219" si="270">SUM(AH189:AH218)</f>
        <v>0</v>
      </c>
      <c r="AI219" s="36">
        <f t="shared" ref="AI219" si="271">SUM(AI189:AI218)</f>
        <v>0</v>
      </c>
    </row>
    <row r="220" spans="1:35">
      <c r="A220" s="10"/>
      <c r="B220" s="11" t="s">
        <v>69</v>
      </c>
      <c r="C220" s="27">
        <f>C219+C188</f>
        <v>0</v>
      </c>
      <c r="D220" s="27">
        <f t="shared" ref="D220" si="272">D219+D188</f>
        <v>0</v>
      </c>
      <c r="E220" s="27">
        <f t="shared" ref="E220" si="273">E219+E188</f>
        <v>0</v>
      </c>
      <c r="F220" s="27">
        <f t="shared" ref="F220" si="274">F219+F188</f>
        <v>0</v>
      </c>
      <c r="G220" s="27">
        <f t="shared" ref="G220" si="275">G219+G188</f>
        <v>0</v>
      </c>
      <c r="H220" s="27">
        <f t="shared" ref="H220" si="276">H219+H188</f>
        <v>0</v>
      </c>
      <c r="I220" s="27">
        <f t="shared" ref="I220" si="277">I219+I188</f>
        <v>0</v>
      </c>
      <c r="J220" s="27">
        <f t="shared" ref="J220" si="278">J219+J188</f>
        <v>0</v>
      </c>
      <c r="K220" s="27">
        <f t="shared" ref="K220" si="279">K219+K188</f>
        <v>0</v>
      </c>
      <c r="L220" s="27">
        <f t="shared" ref="L220" si="280">L219+L188</f>
        <v>0</v>
      </c>
      <c r="M220" s="27">
        <f t="shared" ref="M220" si="281">M219+M188</f>
        <v>0</v>
      </c>
      <c r="N220" s="27">
        <f t="shared" ref="N220" si="282">N219+N188</f>
        <v>0</v>
      </c>
      <c r="O220" s="27">
        <f t="shared" ref="O220" si="283">O219+O188</f>
        <v>0</v>
      </c>
      <c r="P220" s="27">
        <f t="shared" ref="P220" si="284">P219+P188</f>
        <v>0</v>
      </c>
      <c r="Q220" s="27">
        <f t="shared" ref="Q220" si="285">Q219+Q188</f>
        <v>0</v>
      </c>
      <c r="R220" s="27">
        <f t="shared" ref="R220" si="286">R219+R188</f>
        <v>0</v>
      </c>
      <c r="S220" s="27">
        <f t="shared" ref="S220" si="287">S219+S188</f>
        <v>0</v>
      </c>
      <c r="T220" s="27">
        <f t="shared" ref="T220" si="288">T219+T188</f>
        <v>0</v>
      </c>
      <c r="U220" s="27">
        <f t="shared" ref="U220" si="289">U219+U188</f>
        <v>0</v>
      </c>
      <c r="V220" s="27">
        <f t="shared" ref="V220" si="290">V219+V188</f>
        <v>0</v>
      </c>
      <c r="W220" s="27">
        <f t="shared" ref="W220" si="291">W219+W188</f>
        <v>0</v>
      </c>
      <c r="X220" s="27">
        <f t="shared" ref="X220" si="292">X219+X188</f>
        <v>0</v>
      </c>
      <c r="Y220" s="27">
        <f t="shared" ref="Y220" si="293">Y219+Y188</f>
        <v>0</v>
      </c>
      <c r="Z220" s="27">
        <f t="shared" ref="Z220" si="294">Z219+Z188</f>
        <v>0</v>
      </c>
      <c r="AA220" s="27">
        <f t="shared" ref="AA220" si="295">AA219+AA188</f>
        <v>0</v>
      </c>
      <c r="AB220" s="27">
        <f t="shared" ref="AB220" si="296">AB219+AB188</f>
        <v>0</v>
      </c>
      <c r="AC220" s="27">
        <f t="shared" ref="AC220" si="297">AC219+AC188</f>
        <v>0</v>
      </c>
      <c r="AD220" s="27">
        <f t="shared" ref="AD220" si="298">AD219+AD188</f>
        <v>0</v>
      </c>
      <c r="AE220" s="27">
        <f t="shared" ref="AE220" si="299">AE219+AE188</f>
        <v>0</v>
      </c>
      <c r="AF220" s="27">
        <f t="shared" ref="AF220" si="300">AF219+AF188</f>
        <v>0</v>
      </c>
      <c r="AG220" s="27">
        <f t="shared" ref="AG220" si="301">AG219+AG188</f>
        <v>0</v>
      </c>
      <c r="AH220" s="27">
        <f t="shared" ref="AH220" si="302">AH219+AH188</f>
        <v>0</v>
      </c>
      <c r="AI220" s="38">
        <f>AI219+AI188</f>
        <v>0</v>
      </c>
    </row>
    <row r="221" spans="1:35" ht="13">
      <c r="A221" s="10"/>
      <c r="B221" s="34" t="s">
        <v>72</v>
      </c>
      <c r="C221" s="43">
        <v>0</v>
      </c>
      <c r="D221" s="43">
        <v>0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  <c r="V221" s="43">
        <v>0</v>
      </c>
      <c r="W221" s="43">
        <v>0</v>
      </c>
      <c r="X221" s="43">
        <v>0</v>
      </c>
      <c r="Y221" s="43">
        <v>0</v>
      </c>
      <c r="Z221" s="43">
        <v>0</v>
      </c>
      <c r="AA221" s="43">
        <v>0</v>
      </c>
      <c r="AB221" s="43">
        <v>0</v>
      </c>
      <c r="AC221" s="43">
        <v>0</v>
      </c>
      <c r="AD221" s="43">
        <v>0</v>
      </c>
      <c r="AE221" s="43">
        <v>0</v>
      </c>
      <c r="AF221" s="43">
        <v>0</v>
      </c>
      <c r="AG221" s="43">
        <v>0</v>
      </c>
      <c r="AH221" s="43">
        <v>0</v>
      </c>
      <c r="AI221" s="38">
        <f>SUM(C221:AH221)</f>
        <v>0</v>
      </c>
    </row>
    <row r="222" spans="1:35" ht="5" customHeight="1">
      <c r="A222" s="10"/>
      <c r="AI222" s="39"/>
    </row>
    <row r="223" spans="1:35" ht="13">
      <c r="A223" s="40"/>
      <c r="B223" s="12" t="s">
        <v>77</v>
      </c>
      <c r="C223" s="41">
        <f>C220-C221</f>
        <v>0</v>
      </c>
      <c r="D223" s="41">
        <f t="shared" ref="D223:AI223" si="303">D220-D221</f>
        <v>0</v>
      </c>
      <c r="E223" s="41">
        <f t="shared" si="303"/>
        <v>0</v>
      </c>
      <c r="F223" s="41">
        <f t="shared" si="303"/>
        <v>0</v>
      </c>
      <c r="G223" s="41">
        <f t="shared" si="303"/>
        <v>0</v>
      </c>
      <c r="H223" s="41">
        <f t="shared" si="303"/>
        <v>0</v>
      </c>
      <c r="I223" s="41">
        <f t="shared" si="303"/>
        <v>0</v>
      </c>
      <c r="J223" s="41">
        <f t="shared" si="303"/>
        <v>0</v>
      </c>
      <c r="K223" s="41">
        <f t="shared" si="303"/>
        <v>0</v>
      </c>
      <c r="L223" s="41">
        <f t="shared" si="303"/>
        <v>0</v>
      </c>
      <c r="M223" s="41">
        <f t="shared" si="303"/>
        <v>0</v>
      </c>
      <c r="N223" s="41">
        <f t="shared" si="303"/>
        <v>0</v>
      </c>
      <c r="O223" s="41">
        <f t="shared" si="303"/>
        <v>0</v>
      </c>
      <c r="P223" s="41">
        <f t="shared" si="303"/>
        <v>0</v>
      </c>
      <c r="Q223" s="41">
        <f t="shared" si="303"/>
        <v>0</v>
      </c>
      <c r="R223" s="41">
        <f t="shared" si="303"/>
        <v>0</v>
      </c>
      <c r="S223" s="41">
        <f t="shared" si="303"/>
        <v>0</v>
      </c>
      <c r="T223" s="41">
        <f t="shared" si="303"/>
        <v>0</v>
      </c>
      <c r="U223" s="41">
        <f t="shared" si="303"/>
        <v>0</v>
      </c>
      <c r="V223" s="41">
        <f t="shared" si="303"/>
        <v>0</v>
      </c>
      <c r="W223" s="41">
        <f t="shared" si="303"/>
        <v>0</v>
      </c>
      <c r="X223" s="41">
        <f t="shared" si="303"/>
        <v>0</v>
      </c>
      <c r="Y223" s="41">
        <f t="shared" si="303"/>
        <v>0</v>
      </c>
      <c r="Z223" s="41">
        <f t="shared" si="303"/>
        <v>0</v>
      </c>
      <c r="AA223" s="41">
        <f t="shared" si="303"/>
        <v>0</v>
      </c>
      <c r="AB223" s="41">
        <f t="shared" si="303"/>
        <v>0</v>
      </c>
      <c r="AC223" s="41">
        <f t="shared" si="303"/>
        <v>0</v>
      </c>
      <c r="AD223" s="41">
        <f t="shared" si="303"/>
        <v>0</v>
      </c>
      <c r="AE223" s="41">
        <f t="shared" si="303"/>
        <v>0</v>
      </c>
      <c r="AF223" s="41">
        <f t="shared" si="303"/>
        <v>0</v>
      </c>
      <c r="AG223" s="41">
        <f t="shared" si="303"/>
        <v>0</v>
      </c>
      <c r="AH223" s="41">
        <f t="shared" si="303"/>
        <v>0</v>
      </c>
      <c r="AI223" s="42">
        <f t="shared" si="303"/>
        <v>0</v>
      </c>
    </row>
    <row r="224" spans="1:35" ht="8" customHeight="1"/>
    <row r="225" spans="1:35" ht="13">
      <c r="A225" s="33"/>
      <c r="B225" s="34" t="s">
        <v>70</v>
      </c>
      <c r="C225" s="35">
        <f>C221</f>
        <v>0</v>
      </c>
      <c r="D225" s="35">
        <f t="shared" ref="D225:AH225" si="304">D221</f>
        <v>0</v>
      </c>
      <c r="E225" s="35">
        <f t="shared" si="304"/>
        <v>0</v>
      </c>
      <c r="F225" s="35">
        <f t="shared" si="304"/>
        <v>0</v>
      </c>
      <c r="G225" s="35">
        <f t="shared" si="304"/>
        <v>0</v>
      </c>
      <c r="H225" s="35">
        <f t="shared" si="304"/>
        <v>0</v>
      </c>
      <c r="I225" s="35">
        <f t="shared" si="304"/>
        <v>0</v>
      </c>
      <c r="J225" s="35">
        <f t="shared" si="304"/>
        <v>0</v>
      </c>
      <c r="K225" s="35">
        <f t="shared" si="304"/>
        <v>0</v>
      </c>
      <c r="L225" s="35">
        <f t="shared" si="304"/>
        <v>0</v>
      </c>
      <c r="M225" s="35">
        <f t="shared" si="304"/>
        <v>0</v>
      </c>
      <c r="N225" s="35">
        <f t="shared" si="304"/>
        <v>0</v>
      </c>
      <c r="O225" s="35">
        <f t="shared" si="304"/>
        <v>0</v>
      </c>
      <c r="P225" s="35">
        <f t="shared" si="304"/>
        <v>0</v>
      </c>
      <c r="Q225" s="35">
        <f t="shared" si="304"/>
        <v>0</v>
      </c>
      <c r="R225" s="35">
        <f t="shared" si="304"/>
        <v>0</v>
      </c>
      <c r="S225" s="35">
        <f t="shared" si="304"/>
        <v>0</v>
      </c>
      <c r="T225" s="35">
        <f t="shared" si="304"/>
        <v>0</v>
      </c>
      <c r="U225" s="35">
        <f t="shared" si="304"/>
        <v>0</v>
      </c>
      <c r="V225" s="35">
        <f t="shared" si="304"/>
        <v>0</v>
      </c>
      <c r="W225" s="35">
        <f t="shared" si="304"/>
        <v>0</v>
      </c>
      <c r="X225" s="35">
        <f t="shared" si="304"/>
        <v>0</v>
      </c>
      <c r="Y225" s="35">
        <f t="shared" si="304"/>
        <v>0</v>
      </c>
      <c r="Z225" s="35">
        <f t="shared" si="304"/>
        <v>0</v>
      </c>
      <c r="AA225" s="35">
        <f t="shared" si="304"/>
        <v>0</v>
      </c>
      <c r="AB225" s="35">
        <f t="shared" si="304"/>
        <v>0</v>
      </c>
      <c r="AC225" s="35">
        <f t="shared" si="304"/>
        <v>0</v>
      </c>
      <c r="AD225" s="35">
        <f t="shared" si="304"/>
        <v>0</v>
      </c>
      <c r="AE225" s="35">
        <f t="shared" si="304"/>
        <v>0</v>
      </c>
      <c r="AF225" s="35">
        <f t="shared" si="304"/>
        <v>0</v>
      </c>
      <c r="AG225" s="35">
        <f t="shared" si="304"/>
        <v>0</v>
      </c>
      <c r="AH225" s="35">
        <f t="shared" si="304"/>
        <v>0</v>
      </c>
      <c r="AI225" s="36">
        <f>SUM(C225:AH225)</f>
        <v>0</v>
      </c>
    </row>
    <row r="226" spans="1:35">
      <c r="A226" s="10">
        <v>1</v>
      </c>
      <c r="B226" s="11" t="s">
        <v>29</v>
      </c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36">
        <f t="shared" ref="AI226:AI255" si="305">SUM(C226:AH226)</f>
        <v>0</v>
      </c>
    </row>
    <row r="227" spans="1:35">
      <c r="A227" s="10">
        <v>2</v>
      </c>
      <c r="B227" s="11" t="s">
        <v>30</v>
      </c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36">
        <f t="shared" si="305"/>
        <v>0</v>
      </c>
    </row>
    <row r="228" spans="1:35">
      <c r="A228" s="10">
        <v>3</v>
      </c>
      <c r="B228" s="11" t="s">
        <v>31</v>
      </c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36">
        <f t="shared" si="305"/>
        <v>0</v>
      </c>
    </row>
    <row r="229" spans="1:35">
      <c r="A229" s="10">
        <v>4</v>
      </c>
      <c r="B229" s="11" t="s">
        <v>32</v>
      </c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36">
        <f t="shared" si="305"/>
        <v>0</v>
      </c>
    </row>
    <row r="230" spans="1:35">
      <c r="A230" s="10">
        <v>5</v>
      </c>
      <c r="B230" s="11" t="s">
        <v>33</v>
      </c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36">
        <f t="shared" si="305"/>
        <v>0</v>
      </c>
    </row>
    <row r="231" spans="1:35">
      <c r="A231" s="10">
        <v>6</v>
      </c>
      <c r="B231" s="11" t="s">
        <v>34</v>
      </c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36">
        <f t="shared" si="305"/>
        <v>0</v>
      </c>
    </row>
    <row r="232" spans="1:35">
      <c r="A232" s="10">
        <v>7</v>
      </c>
      <c r="B232" s="11" t="s">
        <v>35</v>
      </c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36">
        <f t="shared" si="305"/>
        <v>0</v>
      </c>
    </row>
    <row r="233" spans="1:35">
      <c r="A233" s="10">
        <v>8</v>
      </c>
      <c r="B233" s="11" t="s">
        <v>36</v>
      </c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36">
        <f t="shared" si="305"/>
        <v>0</v>
      </c>
    </row>
    <row r="234" spans="1:35">
      <c r="A234" s="10">
        <v>9</v>
      </c>
      <c r="B234" s="11" t="s">
        <v>37</v>
      </c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36">
        <f t="shared" si="305"/>
        <v>0</v>
      </c>
    </row>
    <row r="235" spans="1:35">
      <c r="A235" s="10">
        <v>10</v>
      </c>
      <c r="B235" s="11" t="s">
        <v>38</v>
      </c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36">
        <f t="shared" si="305"/>
        <v>0</v>
      </c>
    </row>
    <row r="236" spans="1:35">
      <c r="A236" s="10">
        <v>11</v>
      </c>
      <c r="B236" s="11" t="s">
        <v>39</v>
      </c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36">
        <f t="shared" si="305"/>
        <v>0</v>
      </c>
    </row>
    <row r="237" spans="1:35">
      <c r="A237" s="10">
        <v>12</v>
      </c>
      <c r="B237" s="11" t="s">
        <v>40</v>
      </c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36">
        <f t="shared" si="305"/>
        <v>0</v>
      </c>
    </row>
    <row r="238" spans="1:35">
      <c r="A238" s="10">
        <v>13</v>
      </c>
      <c r="B238" s="11" t="s">
        <v>41</v>
      </c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36">
        <f t="shared" si="305"/>
        <v>0</v>
      </c>
    </row>
    <row r="239" spans="1:35">
      <c r="A239" s="10">
        <v>14</v>
      </c>
      <c r="B239" s="11" t="s">
        <v>42</v>
      </c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36">
        <f t="shared" si="305"/>
        <v>0</v>
      </c>
    </row>
    <row r="240" spans="1:35">
      <c r="A240" s="10">
        <v>15</v>
      </c>
      <c r="B240" s="11" t="s">
        <v>43</v>
      </c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36">
        <f t="shared" si="305"/>
        <v>0</v>
      </c>
    </row>
    <row r="241" spans="1:35">
      <c r="A241" s="10">
        <v>16</v>
      </c>
      <c r="B241" s="11" t="s">
        <v>44</v>
      </c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36">
        <f t="shared" si="305"/>
        <v>0</v>
      </c>
    </row>
    <row r="242" spans="1:35">
      <c r="A242" s="10">
        <v>17</v>
      </c>
      <c r="B242" s="11" t="s">
        <v>45</v>
      </c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36">
        <f t="shared" si="305"/>
        <v>0</v>
      </c>
    </row>
    <row r="243" spans="1:35">
      <c r="A243" s="10">
        <v>18</v>
      </c>
      <c r="B243" s="11" t="s">
        <v>46</v>
      </c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36">
        <f t="shared" si="305"/>
        <v>0</v>
      </c>
    </row>
    <row r="244" spans="1:35">
      <c r="A244" s="10">
        <v>19</v>
      </c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36">
        <f t="shared" si="305"/>
        <v>0</v>
      </c>
    </row>
    <row r="245" spans="1:35">
      <c r="A245" s="10">
        <v>20</v>
      </c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36">
        <f t="shared" si="305"/>
        <v>0</v>
      </c>
    </row>
    <row r="246" spans="1:35">
      <c r="A246" s="10">
        <v>21</v>
      </c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36">
        <f t="shared" si="305"/>
        <v>0</v>
      </c>
    </row>
    <row r="247" spans="1:35">
      <c r="A247" s="10">
        <v>22</v>
      </c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36">
        <f t="shared" si="305"/>
        <v>0</v>
      </c>
    </row>
    <row r="248" spans="1:35">
      <c r="A248" s="10">
        <v>23</v>
      </c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36">
        <f t="shared" si="305"/>
        <v>0</v>
      </c>
    </row>
    <row r="249" spans="1:35">
      <c r="A249" s="10">
        <v>24</v>
      </c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36">
        <f t="shared" si="305"/>
        <v>0</v>
      </c>
    </row>
    <row r="250" spans="1:35">
      <c r="A250" s="10">
        <v>25</v>
      </c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36">
        <f t="shared" si="305"/>
        <v>0</v>
      </c>
    </row>
    <row r="251" spans="1:35">
      <c r="A251" s="10">
        <v>26</v>
      </c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36">
        <f t="shared" si="305"/>
        <v>0</v>
      </c>
    </row>
    <row r="252" spans="1:35">
      <c r="A252" s="10">
        <v>27</v>
      </c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36">
        <f t="shared" si="305"/>
        <v>0</v>
      </c>
    </row>
    <row r="253" spans="1:35">
      <c r="A253" s="10">
        <v>28</v>
      </c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36">
        <f t="shared" si="305"/>
        <v>0</v>
      </c>
    </row>
    <row r="254" spans="1:35">
      <c r="A254" s="10">
        <v>29</v>
      </c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36">
        <f t="shared" si="305"/>
        <v>0</v>
      </c>
    </row>
    <row r="255" spans="1:35">
      <c r="A255" s="10">
        <v>30</v>
      </c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36">
        <f t="shared" si="305"/>
        <v>0</v>
      </c>
    </row>
    <row r="256" spans="1:35" ht="13">
      <c r="A256" s="33"/>
      <c r="B256" s="34" t="s">
        <v>68</v>
      </c>
      <c r="C256" s="35">
        <f>SUM(C226:C255)</f>
        <v>0</v>
      </c>
      <c r="D256" s="35">
        <f t="shared" ref="D256" si="306">SUM(D226:D255)</f>
        <v>0</v>
      </c>
      <c r="E256" s="35">
        <f t="shared" ref="E256" si="307">SUM(E226:E255)</f>
        <v>0</v>
      </c>
      <c r="F256" s="35">
        <f t="shared" ref="F256" si="308">SUM(F226:F255)</f>
        <v>0</v>
      </c>
      <c r="G256" s="35">
        <f t="shared" ref="G256" si="309">SUM(G226:G255)</f>
        <v>0</v>
      </c>
      <c r="H256" s="35">
        <f t="shared" ref="H256" si="310">SUM(H226:H255)</f>
        <v>0</v>
      </c>
      <c r="I256" s="35">
        <f t="shared" ref="I256" si="311">SUM(I226:I255)</f>
        <v>0</v>
      </c>
      <c r="J256" s="35">
        <f t="shared" ref="J256" si="312">SUM(J226:J255)</f>
        <v>0</v>
      </c>
      <c r="K256" s="35">
        <f t="shared" ref="K256" si="313">SUM(K226:K255)</f>
        <v>0</v>
      </c>
      <c r="L256" s="35">
        <f t="shared" ref="L256" si="314">SUM(L226:L255)</f>
        <v>0</v>
      </c>
      <c r="M256" s="35">
        <f t="shared" ref="M256" si="315">SUM(M226:M255)</f>
        <v>0</v>
      </c>
      <c r="N256" s="35">
        <f t="shared" ref="N256" si="316">SUM(N226:N255)</f>
        <v>0</v>
      </c>
      <c r="O256" s="35">
        <f t="shared" ref="O256" si="317">SUM(O226:O255)</f>
        <v>0</v>
      </c>
      <c r="P256" s="35">
        <f t="shared" ref="P256" si="318">SUM(P226:P255)</f>
        <v>0</v>
      </c>
      <c r="Q256" s="35">
        <f t="shared" ref="Q256" si="319">SUM(Q226:Q255)</f>
        <v>0</v>
      </c>
      <c r="R256" s="35">
        <f t="shared" ref="R256" si="320">SUM(R226:R255)</f>
        <v>0</v>
      </c>
      <c r="S256" s="35">
        <f t="shared" ref="S256" si="321">SUM(S226:S255)</f>
        <v>0</v>
      </c>
      <c r="T256" s="35">
        <f t="shared" ref="T256" si="322">SUM(T226:T255)</f>
        <v>0</v>
      </c>
      <c r="U256" s="35">
        <f t="shared" ref="U256" si="323">SUM(U226:U255)</f>
        <v>0</v>
      </c>
      <c r="V256" s="35">
        <f t="shared" ref="V256" si="324">SUM(V226:V255)</f>
        <v>0</v>
      </c>
      <c r="W256" s="35">
        <f t="shared" ref="W256" si="325">SUM(W226:W255)</f>
        <v>0</v>
      </c>
      <c r="X256" s="35">
        <f t="shared" ref="X256" si="326">SUM(X226:X255)</f>
        <v>0</v>
      </c>
      <c r="Y256" s="35">
        <f t="shared" ref="Y256" si="327">SUM(Y226:Y255)</f>
        <v>0</v>
      </c>
      <c r="Z256" s="35">
        <f t="shared" ref="Z256" si="328">SUM(Z226:Z255)</f>
        <v>0</v>
      </c>
      <c r="AA256" s="35">
        <f t="shared" ref="AA256" si="329">SUM(AA226:AA255)</f>
        <v>0</v>
      </c>
      <c r="AB256" s="35">
        <f t="shared" ref="AB256" si="330">SUM(AB226:AB255)</f>
        <v>0</v>
      </c>
      <c r="AC256" s="35">
        <f t="shared" ref="AC256" si="331">SUM(AC226:AC255)</f>
        <v>0</v>
      </c>
      <c r="AD256" s="35">
        <f t="shared" ref="AD256" si="332">SUM(AD226:AD255)</f>
        <v>0</v>
      </c>
      <c r="AE256" s="35">
        <f t="shared" ref="AE256" si="333">SUM(AE226:AE255)</f>
        <v>0</v>
      </c>
      <c r="AF256" s="35">
        <f t="shared" ref="AF256" si="334">SUM(AF226:AF255)</f>
        <v>0</v>
      </c>
      <c r="AG256" s="35">
        <f t="shared" ref="AG256" si="335">SUM(AG226:AG255)</f>
        <v>0</v>
      </c>
      <c r="AH256" s="35">
        <f t="shared" ref="AH256" si="336">SUM(AH226:AH255)</f>
        <v>0</v>
      </c>
      <c r="AI256" s="36">
        <f t="shared" ref="AI256" si="337">SUM(AI226:AI255)</f>
        <v>0</v>
      </c>
    </row>
    <row r="257" spans="1:35">
      <c r="A257" s="10"/>
      <c r="B257" s="11" t="s">
        <v>69</v>
      </c>
      <c r="C257" s="27">
        <f>C256+C225</f>
        <v>0</v>
      </c>
      <c r="D257" s="27">
        <f t="shared" ref="D257" si="338">D256+D225</f>
        <v>0</v>
      </c>
      <c r="E257" s="27">
        <f t="shared" ref="E257" si="339">E256+E225</f>
        <v>0</v>
      </c>
      <c r="F257" s="27">
        <f t="shared" ref="F257" si="340">F256+F225</f>
        <v>0</v>
      </c>
      <c r="G257" s="27">
        <f t="shared" ref="G257" si="341">G256+G225</f>
        <v>0</v>
      </c>
      <c r="H257" s="27">
        <f t="shared" ref="H257" si="342">H256+H225</f>
        <v>0</v>
      </c>
      <c r="I257" s="27">
        <f t="shared" ref="I257" si="343">I256+I225</f>
        <v>0</v>
      </c>
      <c r="J257" s="27">
        <f t="shared" ref="J257" si="344">J256+J225</f>
        <v>0</v>
      </c>
      <c r="K257" s="27">
        <f t="shared" ref="K257" si="345">K256+K225</f>
        <v>0</v>
      </c>
      <c r="L257" s="27">
        <f t="shared" ref="L257" si="346">L256+L225</f>
        <v>0</v>
      </c>
      <c r="M257" s="27">
        <f t="shared" ref="M257" si="347">M256+M225</f>
        <v>0</v>
      </c>
      <c r="N257" s="27">
        <f t="shared" ref="N257" si="348">N256+N225</f>
        <v>0</v>
      </c>
      <c r="O257" s="27">
        <f t="shared" ref="O257" si="349">O256+O225</f>
        <v>0</v>
      </c>
      <c r="P257" s="27">
        <f t="shared" ref="P257" si="350">P256+P225</f>
        <v>0</v>
      </c>
      <c r="Q257" s="27">
        <f t="shared" ref="Q257" si="351">Q256+Q225</f>
        <v>0</v>
      </c>
      <c r="R257" s="27">
        <f t="shared" ref="R257" si="352">R256+R225</f>
        <v>0</v>
      </c>
      <c r="S257" s="27">
        <f t="shared" ref="S257" si="353">S256+S225</f>
        <v>0</v>
      </c>
      <c r="T257" s="27">
        <f t="shared" ref="T257" si="354">T256+T225</f>
        <v>0</v>
      </c>
      <c r="U257" s="27">
        <f t="shared" ref="U257" si="355">U256+U225</f>
        <v>0</v>
      </c>
      <c r="V257" s="27">
        <f t="shared" ref="V257" si="356">V256+V225</f>
        <v>0</v>
      </c>
      <c r="W257" s="27">
        <f t="shared" ref="W257" si="357">W256+W225</f>
        <v>0</v>
      </c>
      <c r="X257" s="27">
        <f t="shared" ref="X257" si="358">X256+X225</f>
        <v>0</v>
      </c>
      <c r="Y257" s="27">
        <f t="shared" ref="Y257" si="359">Y256+Y225</f>
        <v>0</v>
      </c>
      <c r="Z257" s="27">
        <f t="shared" ref="Z257" si="360">Z256+Z225</f>
        <v>0</v>
      </c>
      <c r="AA257" s="27">
        <f t="shared" ref="AA257" si="361">AA256+AA225</f>
        <v>0</v>
      </c>
      <c r="AB257" s="27">
        <f t="shared" ref="AB257" si="362">AB256+AB225</f>
        <v>0</v>
      </c>
      <c r="AC257" s="27">
        <f t="shared" ref="AC257" si="363">AC256+AC225</f>
        <v>0</v>
      </c>
      <c r="AD257" s="27">
        <f t="shared" ref="AD257" si="364">AD256+AD225</f>
        <v>0</v>
      </c>
      <c r="AE257" s="27">
        <f t="shared" ref="AE257" si="365">AE256+AE225</f>
        <v>0</v>
      </c>
      <c r="AF257" s="27">
        <f t="shared" ref="AF257" si="366">AF256+AF225</f>
        <v>0</v>
      </c>
      <c r="AG257" s="27">
        <f t="shared" ref="AG257" si="367">AG256+AG225</f>
        <v>0</v>
      </c>
      <c r="AH257" s="27">
        <f t="shared" ref="AH257" si="368">AH256+AH225</f>
        <v>0</v>
      </c>
      <c r="AI257" s="38">
        <f>AI256+AI225</f>
        <v>0</v>
      </c>
    </row>
    <row r="258" spans="1:35" ht="13">
      <c r="A258" s="10"/>
      <c r="B258" s="34" t="s">
        <v>72</v>
      </c>
      <c r="C258" s="43">
        <v>0</v>
      </c>
      <c r="D258" s="43">
        <v>0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  <c r="V258" s="43">
        <v>0</v>
      </c>
      <c r="W258" s="43">
        <v>0</v>
      </c>
      <c r="X258" s="43">
        <v>0</v>
      </c>
      <c r="Y258" s="43">
        <v>0</v>
      </c>
      <c r="Z258" s="43">
        <v>0</v>
      </c>
      <c r="AA258" s="43">
        <v>0</v>
      </c>
      <c r="AB258" s="43">
        <v>0</v>
      </c>
      <c r="AC258" s="43">
        <v>0</v>
      </c>
      <c r="AD258" s="43">
        <v>0</v>
      </c>
      <c r="AE258" s="43">
        <v>0</v>
      </c>
      <c r="AF258" s="43">
        <v>0</v>
      </c>
      <c r="AG258" s="43">
        <v>0</v>
      </c>
      <c r="AH258" s="43">
        <v>0</v>
      </c>
      <c r="AI258" s="38">
        <f>SUM(C258:AH258)</f>
        <v>0</v>
      </c>
    </row>
    <row r="259" spans="1:35" ht="5" customHeight="1">
      <c r="A259" s="10"/>
      <c r="AI259" s="39"/>
    </row>
    <row r="260" spans="1:35" ht="13">
      <c r="A260" s="40"/>
      <c r="B260" s="12" t="s">
        <v>78</v>
      </c>
      <c r="C260" s="41">
        <f>C257-C258</f>
        <v>0</v>
      </c>
      <c r="D260" s="41">
        <f t="shared" ref="D260:AI260" si="369">D257-D258</f>
        <v>0</v>
      </c>
      <c r="E260" s="41">
        <f t="shared" si="369"/>
        <v>0</v>
      </c>
      <c r="F260" s="41">
        <f t="shared" si="369"/>
        <v>0</v>
      </c>
      <c r="G260" s="41">
        <f t="shared" si="369"/>
        <v>0</v>
      </c>
      <c r="H260" s="41">
        <f t="shared" si="369"/>
        <v>0</v>
      </c>
      <c r="I260" s="41">
        <f t="shared" si="369"/>
        <v>0</v>
      </c>
      <c r="J260" s="41">
        <f t="shared" si="369"/>
        <v>0</v>
      </c>
      <c r="K260" s="41">
        <f t="shared" si="369"/>
        <v>0</v>
      </c>
      <c r="L260" s="41">
        <f t="shared" si="369"/>
        <v>0</v>
      </c>
      <c r="M260" s="41">
        <f t="shared" si="369"/>
        <v>0</v>
      </c>
      <c r="N260" s="41">
        <f t="shared" si="369"/>
        <v>0</v>
      </c>
      <c r="O260" s="41">
        <f t="shared" si="369"/>
        <v>0</v>
      </c>
      <c r="P260" s="41">
        <f t="shared" si="369"/>
        <v>0</v>
      </c>
      <c r="Q260" s="41">
        <f t="shared" si="369"/>
        <v>0</v>
      </c>
      <c r="R260" s="41">
        <f t="shared" si="369"/>
        <v>0</v>
      </c>
      <c r="S260" s="41">
        <f t="shared" si="369"/>
        <v>0</v>
      </c>
      <c r="T260" s="41">
        <f t="shared" si="369"/>
        <v>0</v>
      </c>
      <c r="U260" s="41">
        <f t="shared" si="369"/>
        <v>0</v>
      </c>
      <c r="V260" s="41">
        <f t="shared" si="369"/>
        <v>0</v>
      </c>
      <c r="W260" s="41">
        <f t="shared" si="369"/>
        <v>0</v>
      </c>
      <c r="X260" s="41">
        <f t="shared" si="369"/>
        <v>0</v>
      </c>
      <c r="Y260" s="41">
        <f t="shared" si="369"/>
        <v>0</v>
      </c>
      <c r="Z260" s="41">
        <f t="shared" si="369"/>
        <v>0</v>
      </c>
      <c r="AA260" s="41">
        <f t="shared" si="369"/>
        <v>0</v>
      </c>
      <c r="AB260" s="41">
        <f t="shared" si="369"/>
        <v>0</v>
      </c>
      <c r="AC260" s="41">
        <f t="shared" si="369"/>
        <v>0</v>
      </c>
      <c r="AD260" s="41">
        <f t="shared" si="369"/>
        <v>0</v>
      </c>
      <c r="AE260" s="41">
        <f t="shared" si="369"/>
        <v>0</v>
      </c>
      <c r="AF260" s="41">
        <f t="shared" si="369"/>
        <v>0</v>
      </c>
      <c r="AG260" s="41">
        <f t="shared" si="369"/>
        <v>0</v>
      </c>
      <c r="AH260" s="41">
        <f t="shared" si="369"/>
        <v>0</v>
      </c>
      <c r="AI260" s="42">
        <f t="shared" si="369"/>
        <v>0</v>
      </c>
    </row>
    <row r="261" spans="1:35" ht="8" customHeight="1"/>
    <row r="262" spans="1:35" ht="13">
      <c r="A262" s="33"/>
      <c r="B262" s="34" t="s">
        <v>70</v>
      </c>
      <c r="C262" s="35">
        <f>C258</f>
        <v>0</v>
      </c>
      <c r="D262" s="35">
        <f t="shared" ref="D262:AH262" si="370">D258</f>
        <v>0</v>
      </c>
      <c r="E262" s="35">
        <f t="shared" si="370"/>
        <v>0</v>
      </c>
      <c r="F262" s="35">
        <f t="shared" si="370"/>
        <v>0</v>
      </c>
      <c r="G262" s="35">
        <f t="shared" si="370"/>
        <v>0</v>
      </c>
      <c r="H262" s="35">
        <f t="shared" si="370"/>
        <v>0</v>
      </c>
      <c r="I262" s="35">
        <f t="shared" si="370"/>
        <v>0</v>
      </c>
      <c r="J262" s="35">
        <f t="shared" si="370"/>
        <v>0</v>
      </c>
      <c r="K262" s="35">
        <f t="shared" si="370"/>
        <v>0</v>
      </c>
      <c r="L262" s="35">
        <f t="shared" si="370"/>
        <v>0</v>
      </c>
      <c r="M262" s="35">
        <f t="shared" si="370"/>
        <v>0</v>
      </c>
      <c r="N262" s="35">
        <f t="shared" si="370"/>
        <v>0</v>
      </c>
      <c r="O262" s="35">
        <f t="shared" si="370"/>
        <v>0</v>
      </c>
      <c r="P262" s="35">
        <f t="shared" si="370"/>
        <v>0</v>
      </c>
      <c r="Q262" s="35">
        <f t="shared" si="370"/>
        <v>0</v>
      </c>
      <c r="R262" s="35">
        <f t="shared" si="370"/>
        <v>0</v>
      </c>
      <c r="S262" s="35">
        <f t="shared" si="370"/>
        <v>0</v>
      </c>
      <c r="T262" s="35">
        <f t="shared" si="370"/>
        <v>0</v>
      </c>
      <c r="U262" s="35">
        <f t="shared" si="370"/>
        <v>0</v>
      </c>
      <c r="V262" s="35">
        <f t="shared" si="370"/>
        <v>0</v>
      </c>
      <c r="W262" s="35">
        <f t="shared" si="370"/>
        <v>0</v>
      </c>
      <c r="X262" s="35">
        <f t="shared" si="370"/>
        <v>0</v>
      </c>
      <c r="Y262" s="35">
        <f t="shared" si="370"/>
        <v>0</v>
      </c>
      <c r="Z262" s="35">
        <f t="shared" si="370"/>
        <v>0</v>
      </c>
      <c r="AA262" s="35">
        <f t="shared" si="370"/>
        <v>0</v>
      </c>
      <c r="AB262" s="35">
        <f t="shared" si="370"/>
        <v>0</v>
      </c>
      <c r="AC262" s="35">
        <f t="shared" si="370"/>
        <v>0</v>
      </c>
      <c r="AD262" s="35">
        <f t="shared" si="370"/>
        <v>0</v>
      </c>
      <c r="AE262" s="35">
        <f t="shared" si="370"/>
        <v>0</v>
      </c>
      <c r="AF262" s="35">
        <f t="shared" si="370"/>
        <v>0</v>
      </c>
      <c r="AG262" s="35">
        <f t="shared" si="370"/>
        <v>0</v>
      </c>
      <c r="AH262" s="35">
        <f t="shared" si="370"/>
        <v>0</v>
      </c>
      <c r="AI262" s="36">
        <f>SUM(C262:AH262)</f>
        <v>0</v>
      </c>
    </row>
    <row r="263" spans="1:35">
      <c r="A263" s="10">
        <v>1</v>
      </c>
      <c r="B263" s="11" t="s">
        <v>29</v>
      </c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36">
        <f t="shared" ref="AI263:AI292" si="371">SUM(C263:AH263)</f>
        <v>0</v>
      </c>
    </row>
    <row r="264" spans="1:35">
      <c r="A264" s="10">
        <v>2</v>
      </c>
      <c r="B264" s="11" t="s">
        <v>30</v>
      </c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36">
        <f t="shared" si="371"/>
        <v>0</v>
      </c>
    </row>
    <row r="265" spans="1:35">
      <c r="A265" s="10">
        <v>3</v>
      </c>
      <c r="B265" s="11" t="s">
        <v>31</v>
      </c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36">
        <f t="shared" si="371"/>
        <v>0</v>
      </c>
    </row>
    <row r="266" spans="1:35">
      <c r="A266" s="10">
        <v>4</v>
      </c>
      <c r="B266" s="11" t="s">
        <v>32</v>
      </c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36">
        <f t="shared" si="371"/>
        <v>0</v>
      </c>
    </row>
    <row r="267" spans="1:35">
      <c r="A267" s="10">
        <v>5</v>
      </c>
      <c r="B267" s="11" t="s">
        <v>33</v>
      </c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36">
        <f t="shared" si="371"/>
        <v>0</v>
      </c>
    </row>
    <row r="268" spans="1:35">
      <c r="A268" s="10">
        <v>6</v>
      </c>
      <c r="B268" s="11" t="s">
        <v>34</v>
      </c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36">
        <f t="shared" si="371"/>
        <v>0</v>
      </c>
    </row>
    <row r="269" spans="1:35">
      <c r="A269" s="10">
        <v>7</v>
      </c>
      <c r="B269" s="11" t="s">
        <v>35</v>
      </c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36">
        <f t="shared" si="371"/>
        <v>0</v>
      </c>
    </row>
    <row r="270" spans="1:35">
      <c r="A270" s="10">
        <v>8</v>
      </c>
      <c r="B270" s="11" t="s">
        <v>36</v>
      </c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36">
        <f t="shared" si="371"/>
        <v>0</v>
      </c>
    </row>
    <row r="271" spans="1:35">
      <c r="A271" s="10">
        <v>9</v>
      </c>
      <c r="B271" s="11" t="s">
        <v>37</v>
      </c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36">
        <f t="shared" si="371"/>
        <v>0</v>
      </c>
    </row>
    <row r="272" spans="1:35">
      <c r="A272" s="10">
        <v>10</v>
      </c>
      <c r="B272" s="11" t="s">
        <v>38</v>
      </c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36">
        <f t="shared" si="371"/>
        <v>0</v>
      </c>
    </row>
    <row r="273" spans="1:35">
      <c r="A273" s="10">
        <v>11</v>
      </c>
      <c r="B273" s="11" t="s">
        <v>39</v>
      </c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36">
        <f t="shared" si="371"/>
        <v>0</v>
      </c>
    </row>
    <row r="274" spans="1:35">
      <c r="A274" s="10">
        <v>12</v>
      </c>
      <c r="B274" s="11" t="s">
        <v>40</v>
      </c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36">
        <f t="shared" si="371"/>
        <v>0</v>
      </c>
    </row>
    <row r="275" spans="1:35">
      <c r="A275" s="10">
        <v>13</v>
      </c>
      <c r="B275" s="11" t="s">
        <v>41</v>
      </c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36">
        <f t="shared" si="371"/>
        <v>0</v>
      </c>
    </row>
    <row r="276" spans="1:35">
      <c r="A276" s="10">
        <v>14</v>
      </c>
      <c r="B276" s="11" t="s">
        <v>42</v>
      </c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36">
        <f t="shared" si="371"/>
        <v>0</v>
      </c>
    </row>
    <row r="277" spans="1:35">
      <c r="A277" s="10">
        <v>15</v>
      </c>
      <c r="B277" s="11" t="s">
        <v>43</v>
      </c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36">
        <f t="shared" si="371"/>
        <v>0</v>
      </c>
    </row>
    <row r="278" spans="1:35">
      <c r="A278" s="10">
        <v>16</v>
      </c>
      <c r="B278" s="11" t="s">
        <v>44</v>
      </c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36">
        <f t="shared" si="371"/>
        <v>0</v>
      </c>
    </row>
    <row r="279" spans="1:35">
      <c r="A279" s="10">
        <v>17</v>
      </c>
      <c r="B279" s="11" t="s">
        <v>45</v>
      </c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36">
        <f t="shared" si="371"/>
        <v>0</v>
      </c>
    </row>
    <row r="280" spans="1:35">
      <c r="A280" s="10">
        <v>18</v>
      </c>
      <c r="B280" s="11" t="s">
        <v>46</v>
      </c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36">
        <f t="shared" si="371"/>
        <v>0</v>
      </c>
    </row>
    <row r="281" spans="1:35">
      <c r="A281" s="10">
        <v>19</v>
      </c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36">
        <f t="shared" si="371"/>
        <v>0</v>
      </c>
    </row>
    <row r="282" spans="1:35">
      <c r="A282" s="10">
        <v>20</v>
      </c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36">
        <f t="shared" si="371"/>
        <v>0</v>
      </c>
    </row>
    <row r="283" spans="1:35">
      <c r="A283" s="10">
        <v>21</v>
      </c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36">
        <f t="shared" si="371"/>
        <v>0</v>
      </c>
    </row>
    <row r="284" spans="1:35">
      <c r="A284" s="10">
        <v>22</v>
      </c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36">
        <f t="shared" si="371"/>
        <v>0</v>
      </c>
    </row>
    <row r="285" spans="1:35">
      <c r="A285" s="10">
        <v>23</v>
      </c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36">
        <f t="shared" si="371"/>
        <v>0</v>
      </c>
    </row>
    <row r="286" spans="1:35">
      <c r="A286" s="10">
        <v>24</v>
      </c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36">
        <f t="shared" si="371"/>
        <v>0</v>
      </c>
    </row>
    <row r="287" spans="1:35">
      <c r="A287" s="10">
        <v>25</v>
      </c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36">
        <f t="shared" si="371"/>
        <v>0</v>
      </c>
    </row>
    <row r="288" spans="1:35">
      <c r="A288" s="10">
        <v>26</v>
      </c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36">
        <f t="shared" si="371"/>
        <v>0</v>
      </c>
    </row>
    <row r="289" spans="1:35">
      <c r="A289" s="10">
        <v>27</v>
      </c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36">
        <f t="shared" si="371"/>
        <v>0</v>
      </c>
    </row>
    <row r="290" spans="1:35">
      <c r="A290" s="10">
        <v>28</v>
      </c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36">
        <f t="shared" si="371"/>
        <v>0</v>
      </c>
    </row>
    <row r="291" spans="1:35">
      <c r="A291" s="10">
        <v>29</v>
      </c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36">
        <f t="shared" si="371"/>
        <v>0</v>
      </c>
    </row>
    <row r="292" spans="1:35">
      <c r="A292" s="10">
        <v>30</v>
      </c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36">
        <f t="shared" si="371"/>
        <v>0</v>
      </c>
    </row>
    <row r="293" spans="1:35" ht="13">
      <c r="A293" s="33"/>
      <c r="B293" s="34" t="s">
        <v>68</v>
      </c>
      <c r="C293" s="35">
        <f>SUM(C263:C292)</f>
        <v>0</v>
      </c>
      <c r="D293" s="35">
        <f t="shared" ref="D293" si="372">SUM(D263:D292)</f>
        <v>0</v>
      </c>
      <c r="E293" s="35">
        <f t="shared" ref="E293" si="373">SUM(E263:E292)</f>
        <v>0</v>
      </c>
      <c r="F293" s="35">
        <f t="shared" ref="F293" si="374">SUM(F263:F292)</f>
        <v>0</v>
      </c>
      <c r="G293" s="35">
        <f t="shared" ref="G293" si="375">SUM(G263:G292)</f>
        <v>0</v>
      </c>
      <c r="H293" s="35">
        <f t="shared" ref="H293" si="376">SUM(H263:H292)</f>
        <v>0</v>
      </c>
      <c r="I293" s="35">
        <f t="shared" ref="I293" si="377">SUM(I263:I292)</f>
        <v>0</v>
      </c>
      <c r="J293" s="35">
        <f t="shared" ref="J293" si="378">SUM(J263:J292)</f>
        <v>0</v>
      </c>
      <c r="K293" s="35">
        <f t="shared" ref="K293" si="379">SUM(K263:K292)</f>
        <v>0</v>
      </c>
      <c r="L293" s="35">
        <f t="shared" ref="L293" si="380">SUM(L263:L292)</f>
        <v>0</v>
      </c>
      <c r="M293" s="35">
        <f t="shared" ref="M293" si="381">SUM(M263:M292)</f>
        <v>0</v>
      </c>
      <c r="N293" s="35">
        <f t="shared" ref="N293" si="382">SUM(N263:N292)</f>
        <v>0</v>
      </c>
      <c r="O293" s="35">
        <f t="shared" ref="O293" si="383">SUM(O263:O292)</f>
        <v>0</v>
      </c>
      <c r="P293" s="35">
        <f t="shared" ref="P293" si="384">SUM(P263:P292)</f>
        <v>0</v>
      </c>
      <c r="Q293" s="35">
        <f t="shared" ref="Q293" si="385">SUM(Q263:Q292)</f>
        <v>0</v>
      </c>
      <c r="R293" s="35">
        <f t="shared" ref="R293" si="386">SUM(R263:R292)</f>
        <v>0</v>
      </c>
      <c r="S293" s="35">
        <f t="shared" ref="S293" si="387">SUM(S263:S292)</f>
        <v>0</v>
      </c>
      <c r="T293" s="35">
        <f t="shared" ref="T293" si="388">SUM(T263:T292)</f>
        <v>0</v>
      </c>
      <c r="U293" s="35">
        <f t="shared" ref="U293" si="389">SUM(U263:U292)</f>
        <v>0</v>
      </c>
      <c r="V293" s="35">
        <f t="shared" ref="V293" si="390">SUM(V263:V292)</f>
        <v>0</v>
      </c>
      <c r="W293" s="35">
        <f t="shared" ref="W293" si="391">SUM(W263:W292)</f>
        <v>0</v>
      </c>
      <c r="X293" s="35">
        <f t="shared" ref="X293" si="392">SUM(X263:X292)</f>
        <v>0</v>
      </c>
      <c r="Y293" s="35">
        <f t="shared" ref="Y293" si="393">SUM(Y263:Y292)</f>
        <v>0</v>
      </c>
      <c r="Z293" s="35">
        <f t="shared" ref="Z293" si="394">SUM(Z263:Z292)</f>
        <v>0</v>
      </c>
      <c r="AA293" s="35">
        <f t="shared" ref="AA293" si="395">SUM(AA263:AA292)</f>
        <v>0</v>
      </c>
      <c r="AB293" s="35">
        <f t="shared" ref="AB293" si="396">SUM(AB263:AB292)</f>
        <v>0</v>
      </c>
      <c r="AC293" s="35">
        <f t="shared" ref="AC293" si="397">SUM(AC263:AC292)</f>
        <v>0</v>
      </c>
      <c r="AD293" s="35">
        <f t="shared" ref="AD293" si="398">SUM(AD263:AD292)</f>
        <v>0</v>
      </c>
      <c r="AE293" s="35">
        <f t="shared" ref="AE293" si="399">SUM(AE263:AE292)</f>
        <v>0</v>
      </c>
      <c r="AF293" s="35">
        <f t="shared" ref="AF293" si="400">SUM(AF263:AF292)</f>
        <v>0</v>
      </c>
      <c r="AG293" s="35">
        <f t="shared" ref="AG293" si="401">SUM(AG263:AG292)</f>
        <v>0</v>
      </c>
      <c r="AH293" s="35">
        <f t="shared" ref="AH293" si="402">SUM(AH263:AH292)</f>
        <v>0</v>
      </c>
      <c r="AI293" s="36">
        <f t="shared" ref="AI293" si="403">SUM(AI263:AI292)</f>
        <v>0</v>
      </c>
    </row>
    <row r="294" spans="1:35">
      <c r="A294" s="10"/>
      <c r="B294" s="11" t="s">
        <v>69</v>
      </c>
      <c r="C294" s="27">
        <f>C293+C262</f>
        <v>0</v>
      </c>
      <c r="D294" s="27">
        <f t="shared" ref="D294" si="404">D293+D262</f>
        <v>0</v>
      </c>
      <c r="E294" s="27">
        <f t="shared" ref="E294" si="405">E293+E262</f>
        <v>0</v>
      </c>
      <c r="F294" s="27">
        <f t="shared" ref="F294" si="406">F293+F262</f>
        <v>0</v>
      </c>
      <c r="G294" s="27">
        <f t="shared" ref="G294" si="407">G293+G262</f>
        <v>0</v>
      </c>
      <c r="H294" s="27">
        <f t="shared" ref="H294" si="408">H293+H262</f>
        <v>0</v>
      </c>
      <c r="I294" s="27">
        <f t="shared" ref="I294" si="409">I293+I262</f>
        <v>0</v>
      </c>
      <c r="J294" s="27">
        <f t="shared" ref="J294" si="410">J293+J262</f>
        <v>0</v>
      </c>
      <c r="K294" s="27">
        <f t="shared" ref="K294" si="411">K293+K262</f>
        <v>0</v>
      </c>
      <c r="L294" s="27">
        <f t="shared" ref="L294" si="412">L293+L262</f>
        <v>0</v>
      </c>
      <c r="M294" s="27">
        <f t="shared" ref="M294" si="413">M293+M262</f>
        <v>0</v>
      </c>
      <c r="N294" s="27">
        <f t="shared" ref="N294" si="414">N293+N262</f>
        <v>0</v>
      </c>
      <c r="O294" s="27">
        <f t="shared" ref="O294" si="415">O293+O262</f>
        <v>0</v>
      </c>
      <c r="P294" s="27">
        <f t="shared" ref="P294" si="416">P293+P262</f>
        <v>0</v>
      </c>
      <c r="Q294" s="27">
        <f t="shared" ref="Q294" si="417">Q293+Q262</f>
        <v>0</v>
      </c>
      <c r="R294" s="27">
        <f t="shared" ref="R294" si="418">R293+R262</f>
        <v>0</v>
      </c>
      <c r="S294" s="27">
        <f t="shared" ref="S294" si="419">S293+S262</f>
        <v>0</v>
      </c>
      <c r="T294" s="27">
        <f t="shared" ref="T294" si="420">T293+T262</f>
        <v>0</v>
      </c>
      <c r="U294" s="27">
        <f t="shared" ref="U294" si="421">U293+U262</f>
        <v>0</v>
      </c>
      <c r="V294" s="27">
        <f t="shared" ref="V294" si="422">V293+V262</f>
        <v>0</v>
      </c>
      <c r="W294" s="27">
        <f t="shared" ref="W294" si="423">W293+W262</f>
        <v>0</v>
      </c>
      <c r="X294" s="27">
        <f t="shared" ref="X294" si="424">X293+X262</f>
        <v>0</v>
      </c>
      <c r="Y294" s="27">
        <f t="shared" ref="Y294" si="425">Y293+Y262</f>
        <v>0</v>
      </c>
      <c r="Z294" s="27">
        <f t="shared" ref="Z294" si="426">Z293+Z262</f>
        <v>0</v>
      </c>
      <c r="AA294" s="27">
        <f t="shared" ref="AA294" si="427">AA293+AA262</f>
        <v>0</v>
      </c>
      <c r="AB294" s="27">
        <f t="shared" ref="AB294" si="428">AB293+AB262</f>
        <v>0</v>
      </c>
      <c r="AC294" s="27">
        <f t="shared" ref="AC294" si="429">AC293+AC262</f>
        <v>0</v>
      </c>
      <c r="AD294" s="27">
        <f t="shared" ref="AD294" si="430">AD293+AD262</f>
        <v>0</v>
      </c>
      <c r="AE294" s="27">
        <f t="shared" ref="AE294" si="431">AE293+AE262</f>
        <v>0</v>
      </c>
      <c r="AF294" s="27">
        <f t="shared" ref="AF294" si="432">AF293+AF262</f>
        <v>0</v>
      </c>
      <c r="AG294" s="27">
        <f t="shared" ref="AG294" si="433">AG293+AG262</f>
        <v>0</v>
      </c>
      <c r="AH294" s="27">
        <f t="shared" ref="AH294" si="434">AH293+AH262</f>
        <v>0</v>
      </c>
      <c r="AI294" s="38">
        <f>AI293+AI262</f>
        <v>0</v>
      </c>
    </row>
    <row r="295" spans="1:35" ht="13">
      <c r="A295" s="10"/>
      <c r="B295" s="34" t="s">
        <v>72</v>
      </c>
      <c r="C295" s="43">
        <v>0</v>
      </c>
      <c r="D295" s="43">
        <v>0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  <c r="V295" s="43">
        <v>0</v>
      </c>
      <c r="W295" s="43">
        <v>0</v>
      </c>
      <c r="X295" s="43">
        <v>0</v>
      </c>
      <c r="Y295" s="43">
        <v>0</v>
      </c>
      <c r="Z295" s="43">
        <v>0</v>
      </c>
      <c r="AA295" s="43">
        <v>0</v>
      </c>
      <c r="AB295" s="43">
        <v>0</v>
      </c>
      <c r="AC295" s="43">
        <v>0</v>
      </c>
      <c r="AD295" s="43">
        <v>0</v>
      </c>
      <c r="AE295" s="43">
        <v>0</v>
      </c>
      <c r="AF295" s="43">
        <v>0</v>
      </c>
      <c r="AG295" s="43">
        <v>0</v>
      </c>
      <c r="AH295" s="43">
        <v>0</v>
      </c>
      <c r="AI295" s="38">
        <f>SUM(C295:AH295)</f>
        <v>0</v>
      </c>
    </row>
    <row r="296" spans="1:35" ht="5" customHeight="1">
      <c r="A296" s="10"/>
      <c r="AI296" s="39"/>
    </row>
    <row r="297" spans="1:35" ht="13">
      <c r="A297" s="40"/>
      <c r="B297" s="12" t="s">
        <v>79</v>
      </c>
      <c r="C297" s="41">
        <f>C294-C295</f>
        <v>0</v>
      </c>
      <c r="D297" s="41">
        <f t="shared" ref="D297:AI297" si="435">D294-D295</f>
        <v>0</v>
      </c>
      <c r="E297" s="41">
        <f t="shared" si="435"/>
        <v>0</v>
      </c>
      <c r="F297" s="41">
        <f t="shared" si="435"/>
        <v>0</v>
      </c>
      <c r="G297" s="41">
        <f t="shared" si="435"/>
        <v>0</v>
      </c>
      <c r="H297" s="41">
        <f t="shared" si="435"/>
        <v>0</v>
      </c>
      <c r="I297" s="41">
        <f t="shared" si="435"/>
        <v>0</v>
      </c>
      <c r="J297" s="41">
        <f t="shared" si="435"/>
        <v>0</v>
      </c>
      <c r="K297" s="41">
        <f t="shared" si="435"/>
        <v>0</v>
      </c>
      <c r="L297" s="41">
        <f t="shared" si="435"/>
        <v>0</v>
      </c>
      <c r="M297" s="41">
        <f t="shared" si="435"/>
        <v>0</v>
      </c>
      <c r="N297" s="41">
        <f t="shared" si="435"/>
        <v>0</v>
      </c>
      <c r="O297" s="41">
        <f t="shared" si="435"/>
        <v>0</v>
      </c>
      <c r="P297" s="41">
        <f t="shared" si="435"/>
        <v>0</v>
      </c>
      <c r="Q297" s="41">
        <f t="shared" si="435"/>
        <v>0</v>
      </c>
      <c r="R297" s="41">
        <f t="shared" si="435"/>
        <v>0</v>
      </c>
      <c r="S297" s="41">
        <f t="shared" si="435"/>
        <v>0</v>
      </c>
      <c r="T297" s="41">
        <f t="shared" si="435"/>
        <v>0</v>
      </c>
      <c r="U297" s="41">
        <f t="shared" si="435"/>
        <v>0</v>
      </c>
      <c r="V297" s="41">
        <f t="shared" si="435"/>
        <v>0</v>
      </c>
      <c r="W297" s="41">
        <f t="shared" si="435"/>
        <v>0</v>
      </c>
      <c r="X297" s="41">
        <f t="shared" si="435"/>
        <v>0</v>
      </c>
      <c r="Y297" s="41">
        <f t="shared" si="435"/>
        <v>0</v>
      </c>
      <c r="Z297" s="41">
        <f t="shared" si="435"/>
        <v>0</v>
      </c>
      <c r="AA297" s="41">
        <f t="shared" si="435"/>
        <v>0</v>
      </c>
      <c r="AB297" s="41">
        <f t="shared" si="435"/>
        <v>0</v>
      </c>
      <c r="AC297" s="41">
        <f t="shared" si="435"/>
        <v>0</v>
      </c>
      <c r="AD297" s="41">
        <f t="shared" si="435"/>
        <v>0</v>
      </c>
      <c r="AE297" s="41">
        <f t="shared" si="435"/>
        <v>0</v>
      </c>
      <c r="AF297" s="41">
        <f t="shared" si="435"/>
        <v>0</v>
      </c>
      <c r="AG297" s="41">
        <f t="shared" si="435"/>
        <v>0</v>
      </c>
      <c r="AH297" s="41">
        <f t="shared" si="435"/>
        <v>0</v>
      </c>
      <c r="AI297" s="42">
        <f t="shared" si="435"/>
        <v>0</v>
      </c>
    </row>
    <row r="298" spans="1:35" ht="8" customHeight="1"/>
    <row r="299" spans="1:35" ht="13">
      <c r="A299" s="33"/>
      <c r="B299" s="34" t="s">
        <v>70</v>
      </c>
      <c r="C299" s="35">
        <f>C295</f>
        <v>0</v>
      </c>
      <c r="D299" s="35">
        <f t="shared" ref="D299:AH299" si="436">D295</f>
        <v>0</v>
      </c>
      <c r="E299" s="35">
        <f t="shared" si="436"/>
        <v>0</v>
      </c>
      <c r="F299" s="35">
        <f t="shared" si="436"/>
        <v>0</v>
      </c>
      <c r="G299" s="35">
        <f t="shared" si="436"/>
        <v>0</v>
      </c>
      <c r="H299" s="35">
        <f t="shared" si="436"/>
        <v>0</v>
      </c>
      <c r="I299" s="35">
        <f t="shared" si="436"/>
        <v>0</v>
      </c>
      <c r="J299" s="35">
        <f t="shared" si="436"/>
        <v>0</v>
      </c>
      <c r="K299" s="35">
        <f t="shared" si="436"/>
        <v>0</v>
      </c>
      <c r="L299" s="35">
        <f t="shared" si="436"/>
        <v>0</v>
      </c>
      <c r="M299" s="35">
        <f t="shared" si="436"/>
        <v>0</v>
      </c>
      <c r="N299" s="35">
        <f t="shared" si="436"/>
        <v>0</v>
      </c>
      <c r="O299" s="35">
        <f t="shared" si="436"/>
        <v>0</v>
      </c>
      <c r="P299" s="35">
        <f t="shared" si="436"/>
        <v>0</v>
      </c>
      <c r="Q299" s="35">
        <f t="shared" si="436"/>
        <v>0</v>
      </c>
      <c r="R299" s="35">
        <f t="shared" si="436"/>
        <v>0</v>
      </c>
      <c r="S299" s="35">
        <f t="shared" si="436"/>
        <v>0</v>
      </c>
      <c r="T299" s="35">
        <f t="shared" si="436"/>
        <v>0</v>
      </c>
      <c r="U299" s="35">
        <f t="shared" si="436"/>
        <v>0</v>
      </c>
      <c r="V299" s="35">
        <f t="shared" si="436"/>
        <v>0</v>
      </c>
      <c r="W299" s="35">
        <f t="shared" si="436"/>
        <v>0</v>
      </c>
      <c r="X299" s="35">
        <f t="shared" si="436"/>
        <v>0</v>
      </c>
      <c r="Y299" s="35">
        <f t="shared" si="436"/>
        <v>0</v>
      </c>
      <c r="Z299" s="35">
        <f t="shared" si="436"/>
        <v>0</v>
      </c>
      <c r="AA299" s="35">
        <f t="shared" si="436"/>
        <v>0</v>
      </c>
      <c r="AB299" s="35">
        <f t="shared" si="436"/>
        <v>0</v>
      </c>
      <c r="AC299" s="35">
        <f t="shared" si="436"/>
        <v>0</v>
      </c>
      <c r="AD299" s="35">
        <f t="shared" si="436"/>
        <v>0</v>
      </c>
      <c r="AE299" s="35">
        <f t="shared" si="436"/>
        <v>0</v>
      </c>
      <c r="AF299" s="35">
        <f t="shared" si="436"/>
        <v>0</v>
      </c>
      <c r="AG299" s="35">
        <f t="shared" si="436"/>
        <v>0</v>
      </c>
      <c r="AH299" s="35">
        <f t="shared" si="436"/>
        <v>0</v>
      </c>
      <c r="AI299" s="36">
        <f>SUM(C299:AH299)</f>
        <v>0</v>
      </c>
    </row>
    <row r="300" spans="1:35">
      <c r="A300" s="10">
        <v>1</v>
      </c>
      <c r="B300" s="11" t="s">
        <v>29</v>
      </c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36">
        <f t="shared" ref="AI300:AI329" si="437">SUM(C300:AH300)</f>
        <v>0</v>
      </c>
    </row>
    <row r="301" spans="1:35">
      <c r="A301" s="10">
        <v>2</v>
      </c>
      <c r="B301" s="11" t="s">
        <v>30</v>
      </c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36">
        <f t="shared" si="437"/>
        <v>0</v>
      </c>
    </row>
    <row r="302" spans="1:35">
      <c r="A302" s="10">
        <v>3</v>
      </c>
      <c r="B302" s="11" t="s">
        <v>31</v>
      </c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36">
        <f t="shared" si="437"/>
        <v>0</v>
      </c>
    </row>
    <row r="303" spans="1:35">
      <c r="A303" s="10">
        <v>4</v>
      </c>
      <c r="B303" s="11" t="s">
        <v>32</v>
      </c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36">
        <f t="shared" si="437"/>
        <v>0</v>
      </c>
    </row>
    <row r="304" spans="1:35">
      <c r="A304" s="10">
        <v>5</v>
      </c>
      <c r="B304" s="11" t="s">
        <v>33</v>
      </c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36">
        <f t="shared" si="437"/>
        <v>0</v>
      </c>
    </row>
    <row r="305" spans="1:35">
      <c r="A305" s="10">
        <v>6</v>
      </c>
      <c r="B305" s="11" t="s">
        <v>34</v>
      </c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36">
        <f t="shared" si="437"/>
        <v>0</v>
      </c>
    </row>
    <row r="306" spans="1:35">
      <c r="A306" s="10">
        <v>7</v>
      </c>
      <c r="B306" s="11" t="s">
        <v>35</v>
      </c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36">
        <f t="shared" si="437"/>
        <v>0</v>
      </c>
    </row>
    <row r="307" spans="1:35">
      <c r="A307" s="10">
        <v>8</v>
      </c>
      <c r="B307" s="11" t="s">
        <v>36</v>
      </c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36">
        <f t="shared" si="437"/>
        <v>0</v>
      </c>
    </row>
    <row r="308" spans="1:35">
      <c r="A308" s="10">
        <v>9</v>
      </c>
      <c r="B308" s="11" t="s">
        <v>37</v>
      </c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36">
        <f t="shared" si="437"/>
        <v>0</v>
      </c>
    </row>
    <row r="309" spans="1:35">
      <c r="A309" s="10">
        <v>10</v>
      </c>
      <c r="B309" s="11" t="s">
        <v>38</v>
      </c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36">
        <f t="shared" si="437"/>
        <v>0</v>
      </c>
    </row>
    <row r="310" spans="1:35">
      <c r="A310" s="10">
        <v>11</v>
      </c>
      <c r="B310" s="11" t="s">
        <v>39</v>
      </c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36">
        <f t="shared" si="437"/>
        <v>0</v>
      </c>
    </row>
    <row r="311" spans="1:35">
      <c r="A311" s="10">
        <v>12</v>
      </c>
      <c r="B311" s="11" t="s">
        <v>40</v>
      </c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36">
        <f t="shared" si="437"/>
        <v>0</v>
      </c>
    </row>
    <row r="312" spans="1:35">
      <c r="A312" s="10">
        <v>13</v>
      </c>
      <c r="B312" s="11" t="s">
        <v>41</v>
      </c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36">
        <f t="shared" si="437"/>
        <v>0</v>
      </c>
    </row>
    <row r="313" spans="1:35">
      <c r="A313" s="10">
        <v>14</v>
      </c>
      <c r="B313" s="11" t="s">
        <v>42</v>
      </c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36">
        <f t="shared" si="437"/>
        <v>0</v>
      </c>
    </row>
    <row r="314" spans="1:35">
      <c r="A314" s="10">
        <v>15</v>
      </c>
      <c r="B314" s="11" t="s">
        <v>43</v>
      </c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36">
        <f t="shared" si="437"/>
        <v>0</v>
      </c>
    </row>
    <row r="315" spans="1:35">
      <c r="A315" s="10">
        <v>16</v>
      </c>
      <c r="B315" s="11" t="s">
        <v>44</v>
      </c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36">
        <f t="shared" si="437"/>
        <v>0</v>
      </c>
    </row>
    <row r="316" spans="1:35">
      <c r="A316" s="10">
        <v>17</v>
      </c>
      <c r="B316" s="11" t="s">
        <v>45</v>
      </c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36">
        <f t="shared" si="437"/>
        <v>0</v>
      </c>
    </row>
    <row r="317" spans="1:35">
      <c r="A317" s="10">
        <v>18</v>
      </c>
      <c r="B317" s="11" t="s">
        <v>46</v>
      </c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36">
        <f t="shared" si="437"/>
        <v>0</v>
      </c>
    </row>
    <row r="318" spans="1:35">
      <c r="A318" s="10">
        <v>19</v>
      </c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36">
        <f t="shared" si="437"/>
        <v>0</v>
      </c>
    </row>
    <row r="319" spans="1:35">
      <c r="A319" s="10">
        <v>20</v>
      </c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36">
        <f t="shared" si="437"/>
        <v>0</v>
      </c>
    </row>
    <row r="320" spans="1:35">
      <c r="A320" s="10">
        <v>21</v>
      </c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36">
        <f t="shared" si="437"/>
        <v>0</v>
      </c>
    </row>
    <row r="321" spans="1:35">
      <c r="A321" s="10">
        <v>22</v>
      </c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36">
        <f t="shared" si="437"/>
        <v>0</v>
      </c>
    </row>
    <row r="322" spans="1:35">
      <c r="A322" s="10">
        <v>23</v>
      </c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36">
        <f t="shared" si="437"/>
        <v>0</v>
      </c>
    </row>
    <row r="323" spans="1:35">
      <c r="A323" s="10">
        <v>24</v>
      </c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36">
        <f t="shared" si="437"/>
        <v>0</v>
      </c>
    </row>
    <row r="324" spans="1:35">
      <c r="A324" s="10">
        <v>25</v>
      </c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36">
        <f t="shared" si="437"/>
        <v>0</v>
      </c>
    </row>
    <row r="325" spans="1:35">
      <c r="A325" s="10">
        <v>26</v>
      </c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36">
        <f t="shared" si="437"/>
        <v>0</v>
      </c>
    </row>
    <row r="326" spans="1:35">
      <c r="A326" s="10">
        <v>27</v>
      </c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36">
        <f t="shared" si="437"/>
        <v>0</v>
      </c>
    </row>
    <row r="327" spans="1:35">
      <c r="A327" s="10">
        <v>28</v>
      </c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36">
        <f t="shared" si="437"/>
        <v>0</v>
      </c>
    </row>
    <row r="328" spans="1:35">
      <c r="A328" s="10">
        <v>29</v>
      </c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36">
        <f t="shared" si="437"/>
        <v>0</v>
      </c>
    </row>
    <row r="329" spans="1:35">
      <c r="A329" s="10">
        <v>30</v>
      </c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36">
        <f t="shared" si="437"/>
        <v>0</v>
      </c>
    </row>
    <row r="330" spans="1:35" ht="13">
      <c r="A330" s="33"/>
      <c r="B330" s="34" t="s">
        <v>68</v>
      </c>
      <c r="C330" s="35">
        <f>SUM(C300:C329)</f>
        <v>0</v>
      </c>
      <c r="D330" s="35">
        <f t="shared" ref="D330" si="438">SUM(D300:D329)</f>
        <v>0</v>
      </c>
      <c r="E330" s="35">
        <f t="shared" ref="E330" si="439">SUM(E300:E329)</f>
        <v>0</v>
      </c>
      <c r="F330" s="35">
        <f t="shared" ref="F330" si="440">SUM(F300:F329)</f>
        <v>0</v>
      </c>
      <c r="G330" s="35">
        <f t="shared" ref="G330" si="441">SUM(G300:G329)</f>
        <v>0</v>
      </c>
      <c r="H330" s="35">
        <f t="shared" ref="H330" si="442">SUM(H300:H329)</f>
        <v>0</v>
      </c>
      <c r="I330" s="35">
        <f t="shared" ref="I330" si="443">SUM(I300:I329)</f>
        <v>0</v>
      </c>
      <c r="J330" s="35">
        <f t="shared" ref="J330" si="444">SUM(J300:J329)</f>
        <v>0</v>
      </c>
      <c r="K330" s="35">
        <f t="shared" ref="K330" si="445">SUM(K300:K329)</f>
        <v>0</v>
      </c>
      <c r="L330" s="35">
        <f t="shared" ref="L330" si="446">SUM(L300:L329)</f>
        <v>0</v>
      </c>
      <c r="M330" s="35">
        <f t="shared" ref="M330" si="447">SUM(M300:M329)</f>
        <v>0</v>
      </c>
      <c r="N330" s="35">
        <f t="shared" ref="N330" si="448">SUM(N300:N329)</f>
        <v>0</v>
      </c>
      <c r="O330" s="35">
        <f t="shared" ref="O330" si="449">SUM(O300:O329)</f>
        <v>0</v>
      </c>
      <c r="P330" s="35">
        <f t="shared" ref="P330" si="450">SUM(P300:P329)</f>
        <v>0</v>
      </c>
      <c r="Q330" s="35">
        <f t="shared" ref="Q330" si="451">SUM(Q300:Q329)</f>
        <v>0</v>
      </c>
      <c r="R330" s="35">
        <f t="shared" ref="R330" si="452">SUM(R300:R329)</f>
        <v>0</v>
      </c>
      <c r="S330" s="35">
        <f t="shared" ref="S330" si="453">SUM(S300:S329)</f>
        <v>0</v>
      </c>
      <c r="T330" s="35">
        <f t="shared" ref="T330" si="454">SUM(T300:T329)</f>
        <v>0</v>
      </c>
      <c r="U330" s="35">
        <f t="shared" ref="U330" si="455">SUM(U300:U329)</f>
        <v>0</v>
      </c>
      <c r="V330" s="35">
        <f t="shared" ref="V330" si="456">SUM(V300:V329)</f>
        <v>0</v>
      </c>
      <c r="W330" s="35">
        <f t="shared" ref="W330" si="457">SUM(W300:W329)</f>
        <v>0</v>
      </c>
      <c r="X330" s="35">
        <f t="shared" ref="X330" si="458">SUM(X300:X329)</f>
        <v>0</v>
      </c>
      <c r="Y330" s="35">
        <f t="shared" ref="Y330" si="459">SUM(Y300:Y329)</f>
        <v>0</v>
      </c>
      <c r="Z330" s="35">
        <f t="shared" ref="Z330" si="460">SUM(Z300:Z329)</f>
        <v>0</v>
      </c>
      <c r="AA330" s="35">
        <f t="shared" ref="AA330" si="461">SUM(AA300:AA329)</f>
        <v>0</v>
      </c>
      <c r="AB330" s="35">
        <f t="shared" ref="AB330" si="462">SUM(AB300:AB329)</f>
        <v>0</v>
      </c>
      <c r="AC330" s="35">
        <f t="shared" ref="AC330" si="463">SUM(AC300:AC329)</f>
        <v>0</v>
      </c>
      <c r="AD330" s="35">
        <f t="shared" ref="AD330" si="464">SUM(AD300:AD329)</f>
        <v>0</v>
      </c>
      <c r="AE330" s="35">
        <f t="shared" ref="AE330" si="465">SUM(AE300:AE329)</f>
        <v>0</v>
      </c>
      <c r="AF330" s="35">
        <f t="shared" ref="AF330" si="466">SUM(AF300:AF329)</f>
        <v>0</v>
      </c>
      <c r="AG330" s="35">
        <f t="shared" ref="AG330" si="467">SUM(AG300:AG329)</f>
        <v>0</v>
      </c>
      <c r="AH330" s="35">
        <f t="shared" ref="AH330" si="468">SUM(AH300:AH329)</f>
        <v>0</v>
      </c>
      <c r="AI330" s="36">
        <f t="shared" ref="AI330" si="469">SUM(AI300:AI329)</f>
        <v>0</v>
      </c>
    </row>
    <row r="331" spans="1:35">
      <c r="A331" s="10"/>
      <c r="B331" s="11" t="s">
        <v>69</v>
      </c>
      <c r="C331" s="27">
        <f>C330+C299</f>
        <v>0</v>
      </c>
      <c r="D331" s="27">
        <f t="shared" ref="D331" si="470">D330+D299</f>
        <v>0</v>
      </c>
      <c r="E331" s="27">
        <f t="shared" ref="E331" si="471">E330+E299</f>
        <v>0</v>
      </c>
      <c r="F331" s="27">
        <f t="shared" ref="F331" si="472">F330+F299</f>
        <v>0</v>
      </c>
      <c r="G331" s="27">
        <f t="shared" ref="G331" si="473">G330+G299</f>
        <v>0</v>
      </c>
      <c r="H331" s="27">
        <f t="shared" ref="H331" si="474">H330+H299</f>
        <v>0</v>
      </c>
      <c r="I331" s="27">
        <f t="shared" ref="I331" si="475">I330+I299</f>
        <v>0</v>
      </c>
      <c r="J331" s="27">
        <f t="shared" ref="J331" si="476">J330+J299</f>
        <v>0</v>
      </c>
      <c r="K331" s="27">
        <f t="shared" ref="K331" si="477">K330+K299</f>
        <v>0</v>
      </c>
      <c r="L331" s="27">
        <f t="shared" ref="L331" si="478">L330+L299</f>
        <v>0</v>
      </c>
      <c r="M331" s="27">
        <f t="shared" ref="M331" si="479">M330+M299</f>
        <v>0</v>
      </c>
      <c r="N331" s="27">
        <f t="shared" ref="N331" si="480">N330+N299</f>
        <v>0</v>
      </c>
      <c r="O331" s="27">
        <f t="shared" ref="O331" si="481">O330+O299</f>
        <v>0</v>
      </c>
      <c r="P331" s="27">
        <f t="shared" ref="P331" si="482">P330+P299</f>
        <v>0</v>
      </c>
      <c r="Q331" s="27">
        <f t="shared" ref="Q331" si="483">Q330+Q299</f>
        <v>0</v>
      </c>
      <c r="R331" s="27">
        <f t="shared" ref="R331" si="484">R330+R299</f>
        <v>0</v>
      </c>
      <c r="S331" s="27">
        <f t="shared" ref="S331" si="485">S330+S299</f>
        <v>0</v>
      </c>
      <c r="T331" s="27">
        <f t="shared" ref="T331" si="486">T330+T299</f>
        <v>0</v>
      </c>
      <c r="U331" s="27">
        <f t="shared" ref="U331" si="487">U330+U299</f>
        <v>0</v>
      </c>
      <c r="V331" s="27">
        <f t="shared" ref="V331" si="488">V330+V299</f>
        <v>0</v>
      </c>
      <c r="W331" s="27">
        <f t="shared" ref="W331" si="489">W330+W299</f>
        <v>0</v>
      </c>
      <c r="X331" s="27">
        <f t="shared" ref="X331" si="490">X330+X299</f>
        <v>0</v>
      </c>
      <c r="Y331" s="27">
        <f t="shared" ref="Y331" si="491">Y330+Y299</f>
        <v>0</v>
      </c>
      <c r="Z331" s="27">
        <f t="shared" ref="Z331" si="492">Z330+Z299</f>
        <v>0</v>
      </c>
      <c r="AA331" s="27">
        <f t="shared" ref="AA331" si="493">AA330+AA299</f>
        <v>0</v>
      </c>
      <c r="AB331" s="27">
        <f t="shared" ref="AB331" si="494">AB330+AB299</f>
        <v>0</v>
      </c>
      <c r="AC331" s="27">
        <f t="shared" ref="AC331" si="495">AC330+AC299</f>
        <v>0</v>
      </c>
      <c r="AD331" s="27">
        <f t="shared" ref="AD331" si="496">AD330+AD299</f>
        <v>0</v>
      </c>
      <c r="AE331" s="27">
        <f t="shared" ref="AE331" si="497">AE330+AE299</f>
        <v>0</v>
      </c>
      <c r="AF331" s="27">
        <f t="shared" ref="AF331" si="498">AF330+AF299</f>
        <v>0</v>
      </c>
      <c r="AG331" s="27">
        <f t="shared" ref="AG331" si="499">AG330+AG299</f>
        <v>0</v>
      </c>
      <c r="AH331" s="27">
        <f t="shared" ref="AH331" si="500">AH330+AH299</f>
        <v>0</v>
      </c>
      <c r="AI331" s="38">
        <f>AI330+AI299</f>
        <v>0</v>
      </c>
    </row>
    <row r="332" spans="1:35" ht="13">
      <c r="A332" s="10"/>
      <c r="B332" s="34" t="s">
        <v>72</v>
      </c>
      <c r="C332" s="43">
        <v>0</v>
      </c>
      <c r="D332" s="43">
        <v>0</v>
      </c>
      <c r="E332" s="43">
        <v>0</v>
      </c>
      <c r="F332" s="43">
        <v>0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  <c r="V332" s="43">
        <v>0</v>
      </c>
      <c r="W332" s="43">
        <v>0</v>
      </c>
      <c r="X332" s="43">
        <v>0</v>
      </c>
      <c r="Y332" s="43">
        <v>0</v>
      </c>
      <c r="Z332" s="43">
        <v>0</v>
      </c>
      <c r="AA332" s="43">
        <v>0</v>
      </c>
      <c r="AB332" s="43">
        <v>0</v>
      </c>
      <c r="AC332" s="43">
        <v>0</v>
      </c>
      <c r="AD332" s="43">
        <v>0</v>
      </c>
      <c r="AE332" s="43">
        <v>0</v>
      </c>
      <c r="AF332" s="43">
        <v>0</v>
      </c>
      <c r="AG332" s="43">
        <v>0</v>
      </c>
      <c r="AH332" s="43">
        <v>0</v>
      </c>
      <c r="AI332" s="38">
        <f>SUM(C332:AH332)</f>
        <v>0</v>
      </c>
    </row>
    <row r="333" spans="1:35" ht="5" customHeight="1">
      <c r="A333" s="10"/>
      <c r="AI333" s="39"/>
    </row>
    <row r="334" spans="1:35" ht="13">
      <c r="A334" s="40"/>
      <c r="B334" s="12" t="s">
        <v>80</v>
      </c>
      <c r="C334" s="41">
        <f>C331-C332</f>
        <v>0</v>
      </c>
      <c r="D334" s="41">
        <f t="shared" ref="D334:AI334" si="501">D331-D332</f>
        <v>0</v>
      </c>
      <c r="E334" s="41">
        <f t="shared" si="501"/>
        <v>0</v>
      </c>
      <c r="F334" s="41">
        <f t="shared" si="501"/>
        <v>0</v>
      </c>
      <c r="G334" s="41">
        <f t="shared" si="501"/>
        <v>0</v>
      </c>
      <c r="H334" s="41">
        <f t="shared" si="501"/>
        <v>0</v>
      </c>
      <c r="I334" s="41">
        <f t="shared" si="501"/>
        <v>0</v>
      </c>
      <c r="J334" s="41">
        <f t="shared" si="501"/>
        <v>0</v>
      </c>
      <c r="K334" s="41">
        <f t="shared" si="501"/>
        <v>0</v>
      </c>
      <c r="L334" s="41">
        <f t="shared" si="501"/>
        <v>0</v>
      </c>
      <c r="M334" s="41">
        <f t="shared" si="501"/>
        <v>0</v>
      </c>
      <c r="N334" s="41">
        <f t="shared" si="501"/>
        <v>0</v>
      </c>
      <c r="O334" s="41">
        <f t="shared" si="501"/>
        <v>0</v>
      </c>
      <c r="P334" s="41">
        <f t="shared" si="501"/>
        <v>0</v>
      </c>
      <c r="Q334" s="41">
        <f t="shared" si="501"/>
        <v>0</v>
      </c>
      <c r="R334" s="41">
        <f t="shared" si="501"/>
        <v>0</v>
      </c>
      <c r="S334" s="41">
        <f t="shared" si="501"/>
        <v>0</v>
      </c>
      <c r="T334" s="41">
        <f t="shared" si="501"/>
        <v>0</v>
      </c>
      <c r="U334" s="41">
        <f t="shared" si="501"/>
        <v>0</v>
      </c>
      <c r="V334" s="41">
        <f t="shared" si="501"/>
        <v>0</v>
      </c>
      <c r="W334" s="41">
        <f t="shared" si="501"/>
        <v>0</v>
      </c>
      <c r="X334" s="41">
        <f t="shared" si="501"/>
        <v>0</v>
      </c>
      <c r="Y334" s="41">
        <f t="shared" si="501"/>
        <v>0</v>
      </c>
      <c r="Z334" s="41">
        <f t="shared" si="501"/>
        <v>0</v>
      </c>
      <c r="AA334" s="41">
        <f t="shared" si="501"/>
        <v>0</v>
      </c>
      <c r="AB334" s="41">
        <f t="shared" si="501"/>
        <v>0</v>
      </c>
      <c r="AC334" s="41">
        <f t="shared" si="501"/>
        <v>0</v>
      </c>
      <c r="AD334" s="41">
        <f t="shared" si="501"/>
        <v>0</v>
      </c>
      <c r="AE334" s="41">
        <f t="shared" si="501"/>
        <v>0</v>
      </c>
      <c r="AF334" s="41">
        <f t="shared" si="501"/>
        <v>0</v>
      </c>
      <c r="AG334" s="41">
        <f t="shared" si="501"/>
        <v>0</v>
      </c>
      <c r="AH334" s="41">
        <f t="shared" si="501"/>
        <v>0</v>
      </c>
      <c r="AI334" s="42">
        <f t="shared" si="501"/>
        <v>0</v>
      </c>
    </row>
    <row r="335" spans="1:35" ht="8" customHeight="1"/>
    <row r="336" spans="1:35" ht="13">
      <c r="A336" s="33"/>
      <c r="B336" s="34" t="s">
        <v>70</v>
      </c>
      <c r="C336" s="35">
        <f>C332</f>
        <v>0</v>
      </c>
      <c r="D336" s="35">
        <f t="shared" ref="D336:AH336" si="502">D332</f>
        <v>0</v>
      </c>
      <c r="E336" s="35">
        <f t="shared" si="502"/>
        <v>0</v>
      </c>
      <c r="F336" s="35">
        <f t="shared" si="502"/>
        <v>0</v>
      </c>
      <c r="G336" s="35">
        <f t="shared" si="502"/>
        <v>0</v>
      </c>
      <c r="H336" s="35">
        <f t="shared" si="502"/>
        <v>0</v>
      </c>
      <c r="I336" s="35">
        <f t="shared" si="502"/>
        <v>0</v>
      </c>
      <c r="J336" s="35">
        <f t="shared" si="502"/>
        <v>0</v>
      </c>
      <c r="K336" s="35">
        <f t="shared" si="502"/>
        <v>0</v>
      </c>
      <c r="L336" s="35">
        <f t="shared" si="502"/>
        <v>0</v>
      </c>
      <c r="M336" s="35">
        <f t="shared" si="502"/>
        <v>0</v>
      </c>
      <c r="N336" s="35">
        <f t="shared" si="502"/>
        <v>0</v>
      </c>
      <c r="O336" s="35">
        <f t="shared" si="502"/>
        <v>0</v>
      </c>
      <c r="P336" s="35">
        <f t="shared" si="502"/>
        <v>0</v>
      </c>
      <c r="Q336" s="35">
        <f t="shared" si="502"/>
        <v>0</v>
      </c>
      <c r="R336" s="35">
        <f t="shared" si="502"/>
        <v>0</v>
      </c>
      <c r="S336" s="35">
        <f t="shared" si="502"/>
        <v>0</v>
      </c>
      <c r="T336" s="35">
        <f t="shared" si="502"/>
        <v>0</v>
      </c>
      <c r="U336" s="35">
        <f t="shared" si="502"/>
        <v>0</v>
      </c>
      <c r="V336" s="35">
        <f t="shared" si="502"/>
        <v>0</v>
      </c>
      <c r="W336" s="35">
        <f t="shared" si="502"/>
        <v>0</v>
      </c>
      <c r="X336" s="35">
        <f t="shared" si="502"/>
        <v>0</v>
      </c>
      <c r="Y336" s="35">
        <f t="shared" si="502"/>
        <v>0</v>
      </c>
      <c r="Z336" s="35">
        <f t="shared" si="502"/>
        <v>0</v>
      </c>
      <c r="AA336" s="35">
        <f t="shared" si="502"/>
        <v>0</v>
      </c>
      <c r="AB336" s="35">
        <f t="shared" si="502"/>
        <v>0</v>
      </c>
      <c r="AC336" s="35">
        <f t="shared" si="502"/>
        <v>0</v>
      </c>
      <c r="AD336" s="35">
        <f t="shared" si="502"/>
        <v>0</v>
      </c>
      <c r="AE336" s="35">
        <f t="shared" si="502"/>
        <v>0</v>
      </c>
      <c r="AF336" s="35">
        <f t="shared" si="502"/>
        <v>0</v>
      </c>
      <c r="AG336" s="35">
        <f t="shared" si="502"/>
        <v>0</v>
      </c>
      <c r="AH336" s="35">
        <f t="shared" si="502"/>
        <v>0</v>
      </c>
      <c r="AI336" s="36">
        <f>SUM(C336:AH336)</f>
        <v>0</v>
      </c>
    </row>
    <row r="337" spans="1:35">
      <c r="A337" s="10">
        <v>1</v>
      </c>
      <c r="B337" s="11" t="s">
        <v>29</v>
      </c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36">
        <f t="shared" ref="AI337:AI366" si="503">SUM(C337:AH337)</f>
        <v>0</v>
      </c>
    </row>
    <row r="338" spans="1:35">
      <c r="A338" s="10">
        <v>2</v>
      </c>
      <c r="B338" s="11" t="s">
        <v>30</v>
      </c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36">
        <f t="shared" si="503"/>
        <v>0</v>
      </c>
    </row>
    <row r="339" spans="1:35">
      <c r="A339" s="10">
        <v>3</v>
      </c>
      <c r="B339" s="11" t="s">
        <v>31</v>
      </c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36">
        <f t="shared" si="503"/>
        <v>0</v>
      </c>
    </row>
    <row r="340" spans="1:35">
      <c r="A340" s="10">
        <v>4</v>
      </c>
      <c r="B340" s="11" t="s">
        <v>32</v>
      </c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36">
        <f t="shared" si="503"/>
        <v>0</v>
      </c>
    </row>
    <row r="341" spans="1:35">
      <c r="A341" s="10">
        <v>5</v>
      </c>
      <c r="B341" s="11" t="s">
        <v>33</v>
      </c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36">
        <f t="shared" si="503"/>
        <v>0</v>
      </c>
    </row>
    <row r="342" spans="1:35">
      <c r="A342" s="10">
        <v>6</v>
      </c>
      <c r="B342" s="11" t="s">
        <v>34</v>
      </c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36">
        <f t="shared" si="503"/>
        <v>0</v>
      </c>
    </row>
    <row r="343" spans="1:35">
      <c r="A343" s="10">
        <v>7</v>
      </c>
      <c r="B343" s="11" t="s">
        <v>35</v>
      </c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36">
        <f t="shared" si="503"/>
        <v>0</v>
      </c>
    </row>
    <row r="344" spans="1:35">
      <c r="A344" s="10">
        <v>8</v>
      </c>
      <c r="B344" s="11" t="s">
        <v>36</v>
      </c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36">
        <f t="shared" si="503"/>
        <v>0</v>
      </c>
    </row>
    <row r="345" spans="1:35">
      <c r="A345" s="10">
        <v>9</v>
      </c>
      <c r="B345" s="11" t="s">
        <v>37</v>
      </c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36">
        <f t="shared" si="503"/>
        <v>0</v>
      </c>
    </row>
    <row r="346" spans="1:35">
      <c r="A346" s="10">
        <v>10</v>
      </c>
      <c r="B346" s="11" t="s">
        <v>38</v>
      </c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36">
        <f t="shared" si="503"/>
        <v>0</v>
      </c>
    </row>
    <row r="347" spans="1:35">
      <c r="A347" s="10">
        <v>11</v>
      </c>
      <c r="B347" s="11" t="s">
        <v>39</v>
      </c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36">
        <f t="shared" si="503"/>
        <v>0</v>
      </c>
    </row>
    <row r="348" spans="1:35">
      <c r="A348" s="10">
        <v>12</v>
      </c>
      <c r="B348" s="11" t="s">
        <v>40</v>
      </c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36">
        <f t="shared" si="503"/>
        <v>0</v>
      </c>
    </row>
    <row r="349" spans="1:35">
      <c r="A349" s="10">
        <v>13</v>
      </c>
      <c r="B349" s="11" t="s">
        <v>41</v>
      </c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36">
        <f t="shared" si="503"/>
        <v>0</v>
      </c>
    </row>
    <row r="350" spans="1:35">
      <c r="A350" s="10">
        <v>14</v>
      </c>
      <c r="B350" s="11" t="s">
        <v>42</v>
      </c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36">
        <f t="shared" si="503"/>
        <v>0</v>
      </c>
    </row>
    <row r="351" spans="1:35">
      <c r="A351" s="10">
        <v>15</v>
      </c>
      <c r="B351" s="11" t="s">
        <v>43</v>
      </c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36">
        <f t="shared" si="503"/>
        <v>0</v>
      </c>
    </row>
    <row r="352" spans="1:35">
      <c r="A352" s="10">
        <v>16</v>
      </c>
      <c r="B352" s="11" t="s">
        <v>44</v>
      </c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36">
        <f t="shared" si="503"/>
        <v>0</v>
      </c>
    </row>
    <row r="353" spans="1:35">
      <c r="A353" s="10">
        <v>17</v>
      </c>
      <c r="B353" s="11" t="s">
        <v>45</v>
      </c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36">
        <f t="shared" si="503"/>
        <v>0</v>
      </c>
    </row>
    <row r="354" spans="1:35">
      <c r="A354" s="10">
        <v>18</v>
      </c>
      <c r="B354" s="11" t="s">
        <v>46</v>
      </c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36">
        <f t="shared" si="503"/>
        <v>0</v>
      </c>
    </row>
    <row r="355" spans="1:35">
      <c r="A355" s="10">
        <v>19</v>
      </c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36">
        <f t="shared" si="503"/>
        <v>0</v>
      </c>
    </row>
    <row r="356" spans="1:35">
      <c r="A356" s="10">
        <v>20</v>
      </c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36">
        <f t="shared" si="503"/>
        <v>0</v>
      </c>
    </row>
    <row r="357" spans="1:35">
      <c r="A357" s="10">
        <v>21</v>
      </c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36">
        <f t="shared" si="503"/>
        <v>0</v>
      </c>
    </row>
    <row r="358" spans="1:35">
      <c r="A358" s="10">
        <v>22</v>
      </c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36">
        <f t="shared" si="503"/>
        <v>0</v>
      </c>
    </row>
    <row r="359" spans="1:35">
      <c r="A359" s="10">
        <v>23</v>
      </c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36">
        <f t="shared" si="503"/>
        <v>0</v>
      </c>
    </row>
    <row r="360" spans="1:35">
      <c r="A360" s="10">
        <v>24</v>
      </c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36">
        <f t="shared" si="503"/>
        <v>0</v>
      </c>
    </row>
    <row r="361" spans="1:35">
      <c r="A361" s="10">
        <v>25</v>
      </c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36">
        <f t="shared" si="503"/>
        <v>0</v>
      </c>
    </row>
    <row r="362" spans="1:35">
      <c r="A362" s="10">
        <v>26</v>
      </c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36">
        <f t="shared" si="503"/>
        <v>0</v>
      </c>
    </row>
    <row r="363" spans="1:35">
      <c r="A363" s="10">
        <v>27</v>
      </c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36">
        <f t="shared" si="503"/>
        <v>0</v>
      </c>
    </row>
    <row r="364" spans="1:35">
      <c r="A364" s="10">
        <v>28</v>
      </c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36">
        <f t="shared" si="503"/>
        <v>0</v>
      </c>
    </row>
    <row r="365" spans="1:35">
      <c r="A365" s="10">
        <v>29</v>
      </c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36">
        <f t="shared" si="503"/>
        <v>0</v>
      </c>
    </row>
    <row r="366" spans="1:35">
      <c r="A366" s="10">
        <v>30</v>
      </c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36">
        <f t="shared" si="503"/>
        <v>0</v>
      </c>
    </row>
    <row r="367" spans="1:35" ht="13">
      <c r="A367" s="33"/>
      <c r="B367" s="34" t="s">
        <v>68</v>
      </c>
      <c r="C367" s="35">
        <f>SUM(C337:C366)</f>
        <v>0</v>
      </c>
      <c r="D367" s="35">
        <f t="shared" ref="D367" si="504">SUM(D337:D366)</f>
        <v>0</v>
      </c>
      <c r="E367" s="35">
        <f t="shared" ref="E367" si="505">SUM(E337:E366)</f>
        <v>0</v>
      </c>
      <c r="F367" s="35">
        <f t="shared" ref="F367" si="506">SUM(F337:F366)</f>
        <v>0</v>
      </c>
      <c r="G367" s="35">
        <f t="shared" ref="G367" si="507">SUM(G337:G366)</f>
        <v>0</v>
      </c>
      <c r="H367" s="35">
        <f t="shared" ref="H367" si="508">SUM(H337:H366)</f>
        <v>0</v>
      </c>
      <c r="I367" s="35">
        <f t="shared" ref="I367" si="509">SUM(I337:I366)</f>
        <v>0</v>
      </c>
      <c r="J367" s="35">
        <f t="shared" ref="J367" si="510">SUM(J337:J366)</f>
        <v>0</v>
      </c>
      <c r="K367" s="35">
        <f t="shared" ref="K367" si="511">SUM(K337:K366)</f>
        <v>0</v>
      </c>
      <c r="L367" s="35">
        <f t="shared" ref="L367" si="512">SUM(L337:L366)</f>
        <v>0</v>
      </c>
      <c r="M367" s="35">
        <f t="shared" ref="M367" si="513">SUM(M337:M366)</f>
        <v>0</v>
      </c>
      <c r="N367" s="35">
        <f t="shared" ref="N367" si="514">SUM(N337:N366)</f>
        <v>0</v>
      </c>
      <c r="O367" s="35">
        <f t="shared" ref="O367" si="515">SUM(O337:O366)</f>
        <v>0</v>
      </c>
      <c r="P367" s="35">
        <f t="shared" ref="P367" si="516">SUM(P337:P366)</f>
        <v>0</v>
      </c>
      <c r="Q367" s="35">
        <f t="shared" ref="Q367" si="517">SUM(Q337:Q366)</f>
        <v>0</v>
      </c>
      <c r="R367" s="35">
        <f t="shared" ref="R367" si="518">SUM(R337:R366)</f>
        <v>0</v>
      </c>
      <c r="S367" s="35">
        <f t="shared" ref="S367" si="519">SUM(S337:S366)</f>
        <v>0</v>
      </c>
      <c r="T367" s="35">
        <f t="shared" ref="T367" si="520">SUM(T337:T366)</f>
        <v>0</v>
      </c>
      <c r="U367" s="35">
        <f t="shared" ref="U367" si="521">SUM(U337:U366)</f>
        <v>0</v>
      </c>
      <c r="V367" s="35">
        <f t="shared" ref="V367" si="522">SUM(V337:V366)</f>
        <v>0</v>
      </c>
      <c r="W367" s="35">
        <f t="shared" ref="W367" si="523">SUM(W337:W366)</f>
        <v>0</v>
      </c>
      <c r="X367" s="35">
        <f t="shared" ref="X367" si="524">SUM(X337:X366)</f>
        <v>0</v>
      </c>
      <c r="Y367" s="35">
        <f t="shared" ref="Y367" si="525">SUM(Y337:Y366)</f>
        <v>0</v>
      </c>
      <c r="Z367" s="35">
        <f t="shared" ref="Z367" si="526">SUM(Z337:Z366)</f>
        <v>0</v>
      </c>
      <c r="AA367" s="35">
        <f t="shared" ref="AA367" si="527">SUM(AA337:AA366)</f>
        <v>0</v>
      </c>
      <c r="AB367" s="35">
        <f t="shared" ref="AB367" si="528">SUM(AB337:AB366)</f>
        <v>0</v>
      </c>
      <c r="AC367" s="35">
        <f t="shared" ref="AC367" si="529">SUM(AC337:AC366)</f>
        <v>0</v>
      </c>
      <c r="AD367" s="35">
        <f t="shared" ref="AD367" si="530">SUM(AD337:AD366)</f>
        <v>0</v>
      </c>
      <c r="AE367" s="35">
        <f t="shared" ref="AE367" si="531">SUM(AE337:AE366)</f>
        <v>0</v>
      </c>
      <c r="AF367" s="35">
        <f t="shared" ref="AF367" si="532">SUM(AF337:AF366)</f>
        <v>0</v>
      </c>
      <c r="AG367" s="35">
        <f t="shared" ref="AG367" si="533">SUM(AG337:AG366)</f>
        <v>0</v>
      </c>
      <c r="AH367" s="35">
        <f t="shared" ref="AH367" si="534">SUM(AH337:AH366)</f>
        <v>0</v>
      </c>
      <c r="AI367" s="36">
        <f t="shared" ref="AI367" si="535">SUM(AI337:AI366)</f>
        <v>0</v>
      </c>
    </row>
    <row r="368" spans="1:35">
      <c r="A368" s="10"/>
      <c r="B368" s="11" t="s">
        <v>69</v>
      </c>
      <c r="C368" s="27">
        <f>C367+C336</f>
        <v>0</v>
      </c>
      <c r="D368" s="27">
        <f t="shared" ref="D368" si="536">D367+D336</f>
        <v>0</v>
      </c>
      <c r="E368" s="27">
        <f t="shared" ref="E368" si="537">E367+E336</f>
        <v>0</v>
      </c>
      <c r="F368" s="27">
        <f t="shared" ref="F368" si="538">F367+F336</f>
        <v>0</v>
      </c>
      <c r="G368" s="27">
        <f t="shared" ref="G368" si="539">G367+G336</f>
        <v>0</v>
      </c>
      <c r="H368" s="27">
        <f t="shared" ref="H368" si="540">H367+H336</f>
        <v>0</v>
      </c>
      <c r="I368" s="27">
        <f t="shared" ref="I368" si="541">I367+I336</f>
        <v>0</v>
      </c>
      <c r="J368" s="27">
        <f t="shared" ref="J368" si="542">J367+J336</f>
        <v>0</v>
      </c>
      <c r="K368" s="27">
        <f t="shared" ref="K368" si="543">K367+K336</f>
        <v>0</v>
      </c>
      <c r="L368" s="27">
        <f t="shared" ref="L368" si="544">L367+L336</f>
        <v>0</v>
      </c>
      <c r="M368" s="27">
        <f t="shared" ref="M368" si="545">M367+M336</f>
        <v>0</v>
      </c>
      <c r="N368" s="27">
        <f t="shared" ref="N368" si="546">N367+N336</f>
        <v>0</v>
      </c>
      <c r="O368" s="27">
        <f t="shared" ref="O368" si="547">O367+O336</f>
        <v>0</v>
      </c>
      <c r="P368" s="27">
        <f t="shared" ref="P368" si="548">P367+P336</f>
        <v>0</v>
      </c>
      <c r="Q368" s="27">
        <f t="shared" ref="Q368" si="549">Q367+Q336</f>
        <v>0</v>
      </c>
      <c r="R368" s="27">
        <f t="shared" ref="R368" si="550">R367+R336</f>
        <v>0</v>
      </c>
      <c r="S368" s="27">
        <f t="shared" ref="S368" si="551">S367+S336</f>
        <v>0</v>
      </c>
      <c r="T368" s="27">
        <f t="shared" ref="T368" si="552">T367+T336</f>
        <v>0</v>
      </c>
      <c r="U368" s="27">
        <f t="shared" ref="U368" si="553">U367+U336</f>
        <v>0</v>
      </c>
      <c r="V368" s="27">
        <f t="shared" ref="V368" si="554">V367+V336</f>
        <v>0</v>
      </c>
      <c r="W368" s="27">
        <f t="shared" ref="W368" si="555">W367+W336</f>
        <v>0</v>
      </c>
      <c r="X368" s="27">
        <f t="shared" ref="X368" si="556">X367+X336</f>
        <v>0</v>
      </c>
      <c r="Y368" s="27">
        <f t="shared" ref="Y368" si="557">Y367+Y336</f>
        <v>0</v>
      </c>
      <c r="Z368" s="27">
        <f t="shared" ref="Z368" si="558">Z367+Z336</f>
        <v>0</v>
      </c>
      <c r="AA368" s="27">
        <f t="shared" ref="AA368" si="559">AA367+AA336</f>
        <v>0</v>
      </c>
      <c r="AB368" s="27">
        <f t="shared" ref="AB368" si="560">AB367+AB336</f>
        <v>0</v>
      </c>
      <c r="AC368" s="27">
        <f t="shared" ref="AC368" si="561">AC367+AC336</f>
        <v>0</v>
      </c>
      <c r="AD368" s="27">
        <f t="shared" ref="AD368" si="562">AD367+AD336</f>
        <v>0</v>
      </c>
      <c r="AE368" s="27">
        <f t="shared" ref="AE368" si="563">AE367+AE336</f>
        <v>0</v>
      </c>
      <c r="AF368" s="27">
        <f t="shared" ref="AF368" si="564">AF367+AF336</f>
        <v>0</v>
      </c>
      <c r="AG368" s="27">
        <f t="shared" ref="AG368" si="565">AG367+AG336</f>
        <v>0</v>
      </c>
      <c r="AH368" s="27">
        <f t="shared" ref="AH368" si="566">AH367+AH336</f>
        <v>0</v>
      </c>
      <c r="AI368" s="38">
        <f>AI367+AI336</f>
        <v>0</v>
      </c>
    </row>
    <row r="369" spans="1:35" ht="13">
      <c r="A369" s="10"/>
      <c r="B369" s="34" t="s">
        <v>72</v>
      </c>
      <c r="C369" s="43">
        <v>0</v>
      </c>
      <c r="D369" s="43">
        <v>0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  <c r="V369" s="43">
        <v>0</v>
      </c>
      <c r="W369" s="43">
        <v>0</v>
      </c>
      <c r="X369" s="43">
        <v>0</v>
      </c>
      <c r="Y369" s="43">
        <v>0</v>
      </c>
      <c r="Z369" s="43">
        <v>0</v>
      </c>
      <c r="AA369" s="43">
        <v>0</v>
      </c>
      <c r="AB369" s="43">
        <v>0</v>
      </c>
      <c r="AC369" s="43">
        <v>0</v>
      </c>
      <c r="AD369" s="43">
        <v>0</v>
      </c>
      <c r="AE369" s="43">
        <v>0</v>
      </c>
      <c r="AF369" s="43">
        <v>0</v>
      </c>
      <c r="AG369" s="43">
        <v>0</v>
      </c>
      <c r="AH369" s="43">
        <v>0</v>
      </c>
      <c r="AI369" s="38">
        <f>SUM(C369:AH369)</f>
        <v>0</v>
      </c>
    </row>
    <row r="370" spans="1:35" ht="5" customHeight="1">
      <c r="A370" s="10"/>
      <c r="AI370" s="39"/>
    </row>
    <row r="371" spans="1:35" ht="13">
      <c r="A371" s="40"/>
      <c r="B371" s="12" t="s">
        <v>81</v>
      </c>
      <c r="C371" s="41">
        <f>C368-C369</f>
        <v>0</v>
      </c>
      <c r="D371" s="41">
        <f t="shared" ref="D371:AI371" si="567">D368-D369</f>
        <v>0</v>
      </c>
      <c r="E371" s="41">
        <f t="shared" si="567"/>
        <v>0</v>
      </c>
      <c r="F371" s="41">
        <f t="shared" si="567"/>
        <v>0</v>
      </c>
      <c r="G371" s="41">
        <f t="shared" si="567"/>
        <v>0</v>
      </c>
      <c r="H371" s="41">
        <f t="shared" si="567"/>
        <v>0</v>
      </c>
      <c r="I371" s="41">
        <f t="shared" si="567"/>
        <v>0</v>
      </c>
      <c r="J371" s="41">
        <f t="shared" si="567"/>
        <v>0</v>
      </c>
      <c r="K371" s="41">
        <f t="shared" si="567"/>
        <v>0</v>
      </c>
      <c r="L371" s="41">
        <f t="shared" si="567"/>
        <v>0</v>
      </c>
      <c r="M371" s="41">
        <f t="shared" si="567"/>
        <v>0</v>
      </c>
      <c r="N371" s="41">
        <f t="shared" si="567"/>
        <v>0</v>
      </c>
      <c r="O371" s="41">
        <f t="shared" si="567"/>
        <v>0</v>
      </c>
      <c r="P371" s="41">
        <f t="shared" si="567"/>
        <v>0</v>
      </c>
      <c r="Q371" s="41">
        <f t="shared" si="567"/>
        <v>0</v>
      </c>
      <c r="R371" s="41">
        <f t="shared" si="567"/>
        <v>0</v>
      </c>
      <c r="S371" s="41">
        <f t="shared" si="567"/>
        <v>0</v>
      </c>
      <c r="T371" s="41">
        <f t="shared" si="567"/>
        <v>0</v>
      </c>
      <c r="U371" s="41">
        <f t="shared" si="567"/>
        <v>0</v>
      </c>
      <c r="V371" s="41">
        <f t="shared" si="567"/>
        <v>0</v>
      </c>
      <c r="W371" s="41">
        <f t="shared" si="567"/>
        <v>0</v>
      </c>
      <c r="X371" s="41">
        <f t="shared" si="567"/>
        <v>0</v>
      </c>
      <c r="Y371" s="41">
        <f t="shared" si="567"/>
        <v>0</v>
      </c>
      <c r="Z371" s="41">
        <f t="shared" si="567"/>
        <v>0</v>
      </c>
      <c r="AA371" s="41">
        <f t="shared" si="567"/>
        <v>0</v>
      </c>
      <c r="AB371" s="41">
        <f t="shared" si="567"/>
        <v>0</v>
      </c>
      <c r="AC371" s="41">
        <f t="shared" si="567"/>
        <v>0</v>
      </c>
      <c r="AD371" s="41">
        <f t="shared" si="567"/>
        <v>0</v>
      </c>
      <c r="AE371" s="41">
        <f t="shared" si="567"/>
        <v>0</v>
      </c>
      <c r="AF371" s="41">
        <f t="shared" si="567"/>
        <v>0</v>
      </c>
      <c r="AG371" s="41">
        <f t="shared" si="567"/>
        <v>0</v>
      </c>
      <c r="AH371" s="41">
        <f t="shared" si="567"/>
        <v>0</v>
      </c>
      <c r="AI371" s="42">
        <f t="shared" si="567"/>
        <v>0</v>
      </c>
    </row>
    <row r="372" spans="1:35" ht="8" customHeight="1"/>
    <row r="373" spans="1:35" ht="13">
      <c r="A373" s="33"/>
      <c r="B373" s="34" t="s">
        <v>70</v>
      </c>
      <c r="C373" s="35">
        <f>C369</f>
        <v>0</v>
      </c>
      <c r="D373" s="35">
        <f t="shared" ref="D373:AH373" si="568">D369</f>
        <v>0</v>
      </c>
      <c r="E373" s="35">
        <f t="shared" si="568"/>
        <v>0</v>
      </c>
      <c r="F373" s="35">
        <f t="shared" si="568"/>
        <v>0</v>
      </c>
      <c r="G373" s="35">
        <f t="shared" si="568"/>
        <v>0</v>
      </c>
      <c r="H373" s="35">
        <f t="shared" si="568"/>
        <v>0</v>
      </c>
      <c r="I373" s="35">
        <f t="shared" si="568"/>
        <v>0</v>
      </c>
      <c r="J373" s="35">
        <f t="shared" si="568"/>
        <v>0</v>
      </c>
      <c r="K373" s="35">
        <f t="shared" si="568"/>
        <v>0</v>
      </c>
      <c r="L373" s="35">
        <f t="shared" si="568"/>
        <v>0</v>
      </c>
      <c r="M373" s="35">
        <f t="shared" si="568"/>
        <v>0</v>
      </c>
      <c r="N373" s="35">
        <f t="shared" si="568"/>
        <v>0</v>
      </c>
      <c r="O373" s="35">
        <f t="shared" si="568"/>
        <v>0</v>
      </c>
      <c r="P373" s="35">
        <f t="shared" si="568"/>
        <v>0</v>
      </c>
      <c r="Q373" s="35">
        <f t="shared" si="568"/>
        <v>0</v>
      </c>
      <c r="R373" s="35">
        <f t="shared" si="568"/>
        <v>0</v>
      </c>
      <c r="S373" s="35">
        <f t="shared" si="568"/>
        <v>0</v>
      </c>
      <c r="T373" s="35">
        <f t="shared" si="568"/>
        <v>0</v>
      </c>
      <c r="U373" s="35">
        <f t="shared" si="568"/>
        <v>0</v>
      </c>
      <c r="V373" s="35">
        <f t="shared" si="568"/>
        <v>0</v>
      </c>
      <c r="W373" s="35">
        <f t="shared" si="568"/>
        <v>0</v>
      </c>
      <c r="X373" s="35">
        <f t="shared" si="568"/>
        <v>0</v>
      </c>
      <c r="Y373" s="35">
        <f t="shared" si="568"/>
        <v>0</v>
      </c>
      <c r="Z373" s="35">
        <f t="shared" si="568"/>
        <v>0</v>
      </c>
      <c r="AA373" s="35">
        <f t="shared" si="568"/>
        <v>0</v>
      </c>
      <c r="AB373" s="35">
        <f t="shared" si="568"/>
        <v>0</v>
      </c>
      <c r="AC373" s="35">
        <f t="shared" si="568"/>
        <v>0</v>
      </c>
      <c r="AD373" s="35">
        <f t="shared" si="568"/>
        <v>0</v>
      </c>
      <c r="AE373" s="35">
        <f t="shared" si="568"/>
        <v>0</v>
      </c>
      <c r="AF373" s="35">
        <f t="shared" si="568"/>
        <v>0</v>
      </c>
      <c r="AG373" s="35">
        <f t="shared" si="568"/>
        <v>0</v>
      </c>
      <c r="AH373" s="35">
        <f t="shared" si="568"/>
        <v>0</v>
      </c>
      <c r="AI373" s="36">
        <f>SUM(C373:AH373)</f>
        <v>0</v>
      </c>
    </row>
    <row r="374" spans="1:35">
      <c r="A374" s="10">
        <v>1</v>
      </c>
      <c r="B374" s="11" t="s">
        <v>29</v>
      </c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36">
        <f t="shared" ref="AI374:AI403" si="569">SUM(C374:AH374)</f>
        <v>0</v>
      </c>
    </row>
    <row r="375" spans="1:35">
      <c r="A375" s="10">
        <v>2</v>
      </c>
      <c r="B375" s="11" t="s">
        <v>30</v>
      </c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36">
        <f t="shared" si="569"/>
        <v>0</v>
      </c>
    </row>
    <row r="376" spans="1:35">
      <c r="A376" s="10">
        <v>3</v>
      </c>
      <c r="B376" s="11" t="s">
        <v>31</v>
      </c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36">
        <f t="shared" si="569"/>
        <v>0</v>
      </c>
    </row>
    <row r="377" spans="1:35">
      <c r="A377" s="10">
        <v>4</v>
      </c>
      <c r="B377" s="11" t="s">
        <v>32</v>
      </c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36">
        <f t="shared" si="569"/>
        <v>0</v>
      </c>
    </row>
    <row r="378" spans="1:35">
      <c r="A378" s="10">
        <v>5</v>
      </c>
      <c r="B378" s="11" t="s">
        <v>33</v>
      </c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36">
        <f t="shared" si="569"/>
        <v>0</v>
      </c>
    </row>
    <row r="379" spans="1:35">
      <c r="A379" s="10">
        <v>6</v>
      </c>
      <c r="B379" s="11" t="s">
        <v>34</v>
      </c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36">
        <f t="shared" si="569"/>
        <v>0</v>
      </c>
    </row>
    <row r="380" spans="1:35">
      <c r="A380" s="10">
        <v>7</v>
      </c>
      <c r="B380" s="11" t="s">
        <v>35</v>
      </c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36">
        <f t="shared" si="569"/>
        <v>0</v>
      </c>
    </row>
    <row r="381" spans="1:35">
      <c r="A381" s="10">
        <v>8</v>
      </c>
      <c r="B381" s="11" t="s">
        <v>36</v>
      </c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36">
        <f t="shared" si="569"/>
        <v>0</v>
      </c>
    </row>
    <row r="382" spans="1:35">
      <c r="A382" s="10">
        <v>9</v>
      </c>
      <c r="B382" s="11" t="s">
        <v>37</v>
      </c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36">
        <f t="shared" si="569"/>
        <v>0</v>
      </c>
    </row>
    <row r="383" spans="1:35">
      <c r="A383" s="10">
        <v>10</v>
      </c>
      <c r="B383" s="11" t="s">
        <v>38</v>
      </c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36">
        <f t="shared" si="569"/>
        <v>0</v>
      </c>
    </row>
    <row r="384" spans="1:35">
      <c r="A384" s="10">
        <v>11</v>
      </c>
      <c r="B384" s="11" t="s">
        <v>39</v>
      </c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36">
        <f t="shared" si="569"/>
        <v>0</v>
      </c>
    </row>
    <row r="385" spans="1:35">
      <c r="A385" s="10">
        <v>12</v>
      </c>
      <c r="B385" s="11" t="s">
        <v>40</v>
      </c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36">
        <f t="shared" si="569"/>
        <v>0</v>
      </c>
    </row>
    <row r="386" spans="1:35">
      <c r="A386" s="10">
        <v>13</v>
      </c>
      <c r="B386" s="11" t="s">
        <v>41</v>
      </c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36">
        <f t="shared" si="569"/>
        <v>0</v>
      </c>
    </row>
    <row r="387" spans="1:35">
      <c r="A387" s="10">
        <v>14</v>
      </c>
      <c r="B387" s="11" t="s">
        <v>42</v>
      </c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36">
        <f t="shared" si="569"/>
        <v>0</v>
      </c>
    </row>
    <row r="388" spans="1:35">
      <c r="A388" s="10">
        <v>15</v>
      </c>
      <c r="B388" s="11" t="s">
        <v>43</v>
      </c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36">
        <f t="shared" si="569"/>
        <v>0</v>
      </c>
    </row>
    <row r="389" spans="1:35">
      <c r="A389" s="10">
        <v>16</v>
      </c>
      <c r="B389" s="11" t="s">
        <v>44</v>
      </c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36">
        <f t="shared" si="569"/>
        <v>0</v>
      </c>
    </row>
    <row r="390" spans="1:35">
      <c r="A390" s="10">
        <v>17</v>
      </c>
      <c r="B390" s="11" t="s">
        <v>45</v>
      </c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36">
        <f t="shared" si="569"/>
        <v>0</v>
      </c>
    </row>
    <row r="391" spans="1:35">
      <c r="A391" s="10">
        <v>18</v>
      </c>
      <c r="B391" s="11" t="s">
        <v>46</v>
      </c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36">
        <f t="shared" si="569"/>
        <v>0</v>
      </c>
    </row>
    <row r="392" spans="1:35">
      <c r="A392" s="10">
        <v>19</v>
      </c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36">
        <f t="shared" si="569"/>
        <v>0</v>
      </c>
    </row>
    <row r="393" spans="1:35">
      <c r="A393" s="10">
        <v>20</v>
      </c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36">
        <f t="shared" si="569"/>
        <v>0</v>
      </c>
    </row>
    <row r="394" spans="1:35">
      <c r="A394" s="10">
        <v>21</v>
      </c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36">
        <f t="shared" si="569"/>
        <v>0</v>
      </c>
    </row>
    <row r="395" spans="1:35">
      <c r="A395" s="10">
        <v>22</v>
      </c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36">
        <f t="shared" si="569"/>
        <v>0</v>
      </c>
    </row>
    <row r="396" spans="1:35">
      <c r="A396" s="10">
        <v>23</v>
      </c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36">
        <f t="shared" si="569"/>
        <v>0</v>
      </c>
    </row>
    <row r="397" spans="1:35">
      <c r="A397" s="10">
        <v>24</v>
      </c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36">
        <f t="shared" si="569"/>
        <v>0</v>
      </c>
    </row>
    <row r="398" spans="1:35">
      <c r="A398" s="10">
        <v>25</v>
      </c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36">
        <f t="shared" si="569"/>
        <v>0</v>
      </c>
    </row>
    <row r="399" spans="1:35">
      <c r="A399" s="10">
        <v>26</v>
      </c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36">
        <f t="shared" si="569"/>
        <v>0</v>
      </c>
    </row>
    <row r="400" spans="1:35">
      <c r="A400" s="10">
        <v>27</v>
      </c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36">
        <f t="shared" si="569"/>
        <v>0</v>
      </c>
    </row>
    <row r="401" spans="1:35">
      <c r="A401" s="10">
        <v>28</v>
      </c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36">
        <f t="shared" si="569"/>
        <v>0</v>
      </c>
    </row>
    <row r="402" spans="1:35">
      <c r="A402" s="10">
        <v>29</v>
      </c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36">
        <f t="shared" si="569"/>
        <v>0</v>
      </c>
    </row>
    <row r="403" spans="1:35">
      <c r="A403" s="10">
        <v>30</v>
      </c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36">
        <f t="shared" si="569"/>
        <v>0</v>
      </c>
    </row>
    <row r="404" spans="1:35" ht="13">
      <c r="A404" s="33"/>
      <c r="B404" s="34" t="s">
        <v>68</v>
      </c>
      <c r="C404" s="35">
        <f>SUM(C374:C403)</f>
        <v>0</v>
      </c>
      <c r="D404" s="35">
        <f t="shared" ref="D404" si="570">SUM(D374:D403)</f>
        <v>0</v>
      </c>
      <c r="E404" s="35">
        <f t="shared" ref="E404" si="571">SUM(E374:E403)</f>
        <v>0</v>
      </c>
      <c r="F404" s="35">
        <f t="shared" ref="F404" si="572">SUM(F374:F403)</f>
        <v>0</v>
      </c>
      <c r="G404" s="35">
        <f t="shared" ref="G404" si="573">SUM(G374:G403)</f>
        <v>0</v>
      </c>
      <c r="H404" s="35">
        <f t="shared" ref="H404" si="574">SUM(H374:H403)</f>
        <v>0</v>
      </c>
      <c r="I404" s="35">
        <f t="shared" ref="I404" si="575">SUM(I374:I403)</f>
        <v>0</v>
      </c>
      <c r="J404" s="35">
        <f t="shared" ref="J404" si="576">SUM(J374:J403)</f>
        <v>0</v>
      </c>
      <c r="K404" s="35">
        <f t="shared" ref="K404" si="577">SUM(K374:K403)</f>
        <v>0</v>
      </c>
      <c r="L404" s="35">
        <f t="shared" ref="L404" si="578">SUM(L374:L403)</f>
        <v>0</v>
      </c>
      <c r="M404" s="35">
        <f t="shared" ref="M404" si="579">SUM(M374:M403)</f>
        <v>0</v>
      </c>
      <c r="N404" s="35">
        <f t="shared" ref="N404" si="580">SUM(N374:N403)</f>
        <v>0</v>
      </c>
      <c r="O404" s="35">
        <f t="shared" ref="O404" si="581">SUM(O374:O403)</f>
        <v>0</v>
      </c>
      <c r="P404" s="35">
        <f t="shared" ref="P404" si="582">SUM(P374:P403)</f>
        <v>0</v>
      </c>
      <c r="Q404" s="35">
        <f t="shared" ref="Q404" si="583">SUM(Q374:Q403)</f>
        <v>0</v>
      </c>
      <c r="R404" s="35">
        <f t="shared" ref="R404" si="584">SUM(R374:R403)</f>
        <v>0</v>
      </c>
      <c r="S404" s="35">
        <f t="shared" ref="S404" si="585">SUM(S374:S403)</f>
        <v>0</v>
      </c>
      <c r="T404" s="35">
        <f t="shared" ref="T404" si="586">SUM(T374:T403)</f>
        <v>0</v>
      </c>
      <c r="U404" s="35">
        <f t="shared" ref="U404" si="587">SUM(U374:U403)</f>
        <v>0</v>
      </c>
      <c r="V404" s="35">
        <f t="shared" ref="V404" si="588">SUM(V374:V403)</f>
        <v>0</v>
      </c>
      <c r="W404" s="35">
        <f t="shared" ref="W404" si="589">SUM(W374:W403)</f>
        <v>0</v>
      </c>
      <c r="X404" s="35">
        <f t="shared" ref="X404" si="590">SUM(X374:X403)</f>
        <v>0</v>
      </c>
      <c r="Y404" s="35">
        <f t="shared" ref="Y404" si="591">SUM(Y374:Y403)</f>
        <v>0</v>
      </c>
      <c r="Z404" s="35">
        <f t="shared" ref="Z404" si="592">SUM(Z374:Z403)</f>
        <v>0</v>
      </c>
      <c r="AA404" s="35">
        <f t="shared" ref="AA404" si="593">SUM(AA374:AA403)</f>
        <v>0</v>
      </c>
      <c r="AB404" s="35">
        <f t="shared" ref="AB404" si="594">SUM(AB374:AB403)</f>
        <v>0</v>
      </c>
      <c r="AC404" s="35">
        <f t="shared" ref="AC404" si="595">SUM(AC374:AC403)</f>
        <v>0</v>
      </c>
      <c r="AD404" s="35">
        <f t="shared" ref="AD404" si="596">SUM(AD374:AD403)</f>
        <v>0</v>
      </c>
      <c r="AE404" s="35">
        <f t="shared" ref="AE404" si="597">SUM(AE374:AE403)</f>
        <v>0</v>
      </c>
      <c r="AF404" s="35">
        <f t="shared" ref="AF404" si="598">SUM(AF374:AF403)</f>
        <v>0</v>
      </c>
      <c r="AG404" s="35">
        <f t="shared" ref="AG404" si="599">SUM(AG374:AG403)</f>
        <v>0</v>
      </c>
      <c r="AH404" s="35">
        <f t="shared" ref="AH404" si="600">SUM(AH374:AH403)</f>
        <v>0</v>
      </c>
      <c r="AI404" s="36">
        <f t="shared" ref="AI404" si="601">SUM(AI374:AI403)</f>
        <v>0</v>
      </c>
    </row>
    <row r="405" spans="1:35">
      <c r="A405" s="10"/>
      <c r="B405" s="11" t="s">
        <v>69</v>
      </c>
      <c r="C405" s="27">
        <f>C404+C373</f>
        <v>0</v>
      </c>
      <c r="D405" s="27">
        <f t="shared" ref="D405" si="602">D404+D373</f>
        <v>0</v>
      </c>
      <c r="E405" s="27">
        <f t="shared" ref="E405" si="603">E404+E373</f>
        <v>0</v>
      </c>
      <c r="F405" s="27">
        <f t="shared" ref="F405" si="604">F404+F373</f>
        <v>0</v>
      </c>
      <c r="G405" s="27">
        <f t="shared" ref="G405" si="605">G404+G373</f>
        <v>0</v>
      </c>
      <c r="H405" s="27">
        <f t="shared" ref="H405" si="606">H404+H373</f>
        <v>0</v>
      </c>
      <c r="I405" s="27">
        <f t="shared" ref="I405" si="607">I404+I373</f>
        <v>0</v>
      </c>
      <c r="J405" s="27">
        <f t="shared" ref="J405" si="608">J404+J373</f>
        <v>0</v>
      </c>
      <c r="K405" s="27">
        <f t="shared" ref="K405" si="609">K404+K373</f>
        <v>0</v>
      </c>
      <c r="L405" s="27">
        <f t="shared" ref="L405" si="610">L404+L373</f>
        <v>0</v>
      </c>
      <c r="M405" s="27">
        <f t="shared" ref="M405" si="611">M404+M373</f>
        <v>0</v>
      </c>
      <c r="N405" s="27">
        <f t="shared" ref="N405" si="612">N404+N373</f>
        <v>0</v>
      </c>
      <c r="O405" s="27">
        <f t="shared" ref="O405" si="613">O404+O373</f>
        <v>0</v>
      </c>
      <c r="P405" s="27">
        <f t="shared" ref="P405" si="614">P404+P373</f>
        <v>0</v>
      </c>
      <c r="Q405" s="27">
        <f t="shared" ref="Q405" si="615">Q404+Q373</f>
        <v>0</v>
      </c>
      <c r="R405" s="27">
        <f t="shared" ref="R405" si="616">R404+R373</f>
        <v>0</v>
      </c>
      <c r="S405" s="27">
        <f t="shared" ref="S405" si="617">S404+S373</f>
        <v>0</v>
      </c>
      <c r="T405" s="27">
        <f t="shared" ref="T405" si="618">T404+T373</f>
        <v>0</v>
      </c>
      <c r="U405" s="27">
        <f t="shared" ref="U405" si="619">U404+U373</f>
        <v>0</v>
      </c>
      <c r="V405" s="27">
        <f t="shared" ref="V405" si="620">V404+V373</f>
        <v>0</v>
      </c>
      <c r="W405" s="27">
        <f t="shared" ref="W405" si="621">W404+W373</f>
        <v>0</v>
      </c>
      <c r="X405" s="27">
        <f t="shared" ref="X405" si="622">X404+X373</f>
        <v>0</v>
      </c>
      <c r="Y405" s="27">
        <f t="shared" ref="Y405" si="623">Y404+Y373</f>
        <v>0</v>
      </c>
      <c r="Z405" s="27">
        <f t="shared" ref="Z405" si="624">Z404+Z373</f>
        <v>0</v>
      </c>
      <c r="AA405" s="27">
        <f t="shared" ref="AA405" si="625">AA404+AA373</f>
        <v>0</v>
      </c>
      <c r="AB405" s="27">
        <f t="shared" ref="AB405" si="626">AB404+AB373</f>
        <v>0</v>
      </c>
      <c r="AC405" s="27">
        <f t="shared" ref="AC405" si="627">AC404+AC373</f>
        <v>0</v>
      </c>
      <c r="AD405" s="27">
        <f t="shared" ref="AD405" si="628">AD404+AD373</f>
        <v>0</v>
      </c>
      <c r="AE405" s="27">
        <f t="shared" ref="AE405" si="629">AE404+AE373</f>
        <v>0</v>
      </c>
      <c r="AF405" s="27">
        <f t="shared" ref="AF405" si="630">AF404+AF373</f>
        <v>0</v>
      </c>
      <c r="AG405" s="27">
        <f t="shared" ref="AG405" si="631">AG404+AG373</f>
        <v>0</v>
      </c>
      <c r="AH405" s="27">
        <f t="shared" ref="AH405" si="632">AH404+AH373</f>
        <v>0</v>
      </c>
      <c r="AI405" s="38">
        <f>AI404+AI373</f>
        <v>0</v>
      </c>
    </row>
    <row r="406" spans="1:35" ht="13">
      <c r="A406" s="10"/>
      <c r="B406" s="34" t="s">
        <v>72</v>
      </c>
      <c r="C406" s="43">
        <v>0</v>
      </c>
      <c r="D406" s="43">
        <v>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  <c r="V406" s="43">
        <v>0</v>
      </c>
      <c r="W406" s="43">
        <v>0</v>
      </c>
      <c r="X406" s="43">
        <v>0</v>
      </c>
      <c r="Y406" s="43">
        <v>0</v>
      </c>
      <c r="Z406" s="43">
        <v>0</v>
      </c>
      <c r="AA406" s="43">
        <v>0</v>
      </c>
      <c r="AB406" s="43">
        <v>0</v>
      </c>
      <c r="AC406" s="43">
        <v>0</v>
      </c>
      <c r="AD406" s="43">
        <v>0</v>
      </c>
      <c r="AE406" s="43">
        <v>0</v>
      </c>
      <c r="AF406" s="43">
        <v>0</v>
      </c>
      <c r="AG406" s="43">
        <v>0</v>
      </c>
      <c r="AH406" s="43">
        <v>0</v>
      </c>
      <c r="AI406" s="38">
        <f>SUM(C406:AH406)</f>
        <v>0</v>
      </c>
    </row>
    <row r="407" spans="1:35" ht="5" customHeight="1">
      <c r="A407" s="10"/>
      <c r="AI407" s="39"/>
    </row>
    <row r="408" spans="1:35" ht="13">
      <c r="A408" s="40"/>
      <c r="B408" s="12" t="s">
        <v>82</v>
      </c>
      <c r="C408" s="41">
        <f>C405-C406</f>
        <v>0</v>
      </c>
      <c r="D408" s="41">
        <f t="shared" ref="D408:AI408" si="633">D405-D406</f>
        <v>0</v>
      </c>
      <c r="E408" s="41">
        <f t="shared" si="633"/>
        <v>0</v>
      </c>
      <c r="F408" s="41">
        <f t="shared" si="633"/>
        <v>0</v>
      </c>
      <c r="G408" s="41">
        <f t="shared" si="633"/>
        <v>0</v>
      </c>
      <c r="H408" s="41">
        <f t="shared" si="633"/>
        <v>0</v>
      </c>
      <c r="I408" s="41">
        <f t="shared" si="633"/>
        <v>0</v>
      </c>
      <c r="J408" s="41">
        <f t="shared" si="633"/>
        <v>0</v>
      </c>
      <c r="K408" s="41">
        <f t="shared" si="633"/>
        <v>0</v>
      </c>
      <c r="L408" s="41">
        <f t="shared" si="633"/>
        <v>0</v>
      </c>
      <c r="M408" s="41">
        <f t="shared" si="633"/>
        <v>0</v>
      </c>
      <c r="N408" s="41">
        <f t="shared" si="633"/>
        <v>0</v>
      </c>
      <c r="O408" s="41">
        <f t="shared" si="633"/>
        <v>0</v>
      </c>
      <c r="P408" s="41">
        <f t="shared" si="633"/>
        <v>0</v>
      </c>
      <c r="Q408" s="41">
        <f t="shared" si="633"/>
        <v>0</v>
      </c>
      <c r="R408" s="41">
        <f t="shared" si="633"/>
        <v>0</v>
      </c>
      <c r="S408" s="41">
        <f t="shared" si="633"/>
        <v>0</v>
      </c>
      <c r="T408" s="41">
        <f t="shared" si="633"/>
        <v>0</v>
      </c>
      <c r="U408" s="41">
        <f t="shared" si="633"/>
        <v>0</v>
      </c>
      <c r="V408" s="41">
        <f t="shared" si="633"/>
        <v>0</v>
      </c>
      <c r="W408" s="41">
        <f t="shared" si="633"/>
        <v>0</v>
      </c>
      <c r="X408" s="41">
        <f t="shared" si="633"/>
        <v>0</v>
      </c>
      <c r="Y408" s="41">
        <f t="shared" si="633"/>
        <v>0</v>
      </c>
      <c r="Z408" s="41">
        <f t="shared" si="633"/>
        <v>0</v>
      </c>
      <c r="AA408" s="41">
        <f t="shared" si="633"/>
        <v>0</v>
      </c>
      <c r="AB408" s="41">
        <f t="shared" si="633"/>
        <v>0</v>
      </c>
      <c r="AC408" s="41">
        <f t="shared" si="633"/>
        <v>0</v>
      </c>
      <c r="AD408" s="41">
        <f t="shared" si="633"/>
        <v>0</v>
      </c>
      <c r="AE408" s="41">
        <f t="shared" si="633"/>
        <v>0</v>
      </c>
      <c r="AF408" s="41">
        <f t="shared" si="633"/>
        <v>0</v>
      </c>
      <c r="AG408" s="41">
        <f t="shared" si="633"/>
        <v>0</v>
      </c>
      <c r="AH408" s="41">
        <f t="shared" si="633"/>
        <v>0</v>
      </c>
      <c r="AI408" s="42">
        <f t="shared" si="633"/>
        <v>0</v>
      </c>
    </row>
    <row r="409" spans="1:35" ht="8" customHeight="1"/>
    <row r="410" spans="1:35" ht="13">
      <c r="A410" s="33"/>
      <c r="B410" s="34" t="s">
        <v>70</v>
      </c>
      <c r="C410" s="35">
        <f>C406</f>
        <v>0</v>
      </c>
      <c r="D410" s="35">
        <f t="shared" ref="D410:AH410" si="634">D406</f>
        <v>0</v>
      </c>
      <c r="E410" s="35">
        <f t="shared" si="634"/>
        <v>0</v>
      </c>
      <c r="F410" s="35">
        <f t="shared" si="634"/>
        <v>0</v>
      </c>
      <c r="G410" s="35">
        <f t="shared" si="634"/>
        <v>0</v>
      </c>
      <c r="H410" s="35">
        <f t="shared" si="634"/>
        <v>0</v>
      </c>
      <c r="I410" s="35">
        <f t="shared" si="634"/>
        <v>0</v>
      </c>
      <c r="J410" s="35">
        <f t="shared" si="634"/>
        <v>0</v>
      </c>
      <c r="K410" s="35">
        <f t="shared" si="634"/>
        <v>0</v>
      </c>
      <c r="L410" s="35">
        <f t="shared" si="634"/>
        <v>0</v>
      </c>
      <c r="M410" s="35">
        <f t="shared" si="634"/>
        <v>0</v>
      </c>
      <c r="N410" s="35">
        <f t="shared" si="634"/>
        <v>0</v>
      </c>
      <c r="O410" s="35">
        <f t="shared" si="634"/>
        <v>0</v>
      </c>
      <c r="P410" s="35">
        <f t="shared" si="634"/>
        <v>0</v>
      </c>
      <c r="Q410" s="35">
        <f t="shared" si="634"/>
        <v>0</v>
      </c>
      <c r="R410" s="35">
        <f t="shared" si="634"/>
        <v>0</v>
      </c>
      <c r="S410" s="35">
        <f t="shared" si="634"/>
        <v>0</v>
      </c>
      <c r="T410" s="35">
        <f t="shared" si="634"/>
        <v>0</v>
      </c>
      <c r="U410" s="35">
        <f t="shared" si="634"/>
        <v>0</v>
      </c>
      <c r="V410" s="35">
        <f t="shared" si="634"/>
        <v>0</v>
      </c>
      <c r="W410" s="35">
        <f t="shared" si="634"/>
        <v>0</v>
      </c>
      <c r="X410" s="35">
        <f t="shared" si="634"/>
        <v>0</v>
      </c>
      <c r="Y410" s="35">
        <f t="shared" si="634"/>
        <v>0</v>
      </c>
      <c r="Z410" s="35">
        <f t="shared" si="634"/>
        <v>0</v>
      </c>
      <c r="AA410" s="35">
        <f t="shared" si="634"/>
        <v>0</v>
      </c>
      <c r="AB410" s="35">
        <f t="shared" si="634"/>
        <v>0</v>
      </c>
      <c r="AC410" s="35">
        <f t="shared" si="634"/>
        <v>0</v>
      </c>
      <c r="AD410" s="35">
        <f t="shared" si="634"/>
        <v>0</v>
      </c>
      <c r="AE410" s="35">
        <f t="shared" si="634"/>
        <v>0</v>
      </c>
      <c r="AF410" s="35">
        <f t="shared" si="634"/>
        <v>0</v>
      </c>
      <c r="AG410" s="35">
        <f t="shared" si="634"/>
        <v>0</v>
      </c>
      <c r="AH410" s="35">
        <f t="shared" si="634"/>
        <v>0</v>
      </c>
      <c r="AI410" s="36">
        <f>SUM(C410:AH410)</f>
        <v>0</v>
      </c>
    </row>
    <row r="411" spans="1:35">
      <c r="A411" s="10">
        <v>1</v>
      </c>
      <c r="B411" s="11" t="s">
        <v>29</v>
      </c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36">
        <f t="shared" ref="AI411:AI440" si="635">SUM(C411:AH411)</f>
        <v>0</v>
      </c>
    </row>
    <row r="412" spans="1:35">
      <c r="A412" s="10">
        <v>2</v>
      </c>
      <c r="B412" s="11" t="s">
        <v>30</v>
      </c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36">
        <f t="shared" si="635"/>
        <v>0</v>
      </c>
    </row>
    <row r="413" spans="1:35">
      <c r="A413" s="10">
        <v>3</v>
      </c>
      <c r="B413" s="11" t="s">
        <v>31</v>
      </c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36">
        <f t="shared" si="635"/>
        <v>0</v>
      </c>
    </row>
    <row r="414" spans="1:35">
      <c r="A414" s="10">
        <v>4</v>
      </c>
      <c r="B414" s="11" t="s">
        <v>32</v>
      </c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36">
        <f t="shared" si="635"/>
        <v>0</v>
      </c>
    </row>
    <row r="415" spans="1:35">
      <c r="A415" s="10">
        <v>5</v>
      </c>
      <c r="B415" s="11" t="s">
        <v>33</v>
      </c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36">
        <f t="shared" si="635"/>
        <v>0</v>
      </c>
    </row>
    <row r="416" spans="1:35">
      <c r="A416" s="10">
        <v>6</v>
      </c>
      <c r="B416" s="11" t="s">
        <v>34</v>
      </c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36">
        <f t="shared" si="635"/>
        <v>0</v>
      </c>
    </row>
    <row r="417" spans="1:35">
      <c r="A417" s="10">
        <v>7</v>
      </c>
      <c r="B417" s="11" t="s">
        <v>35</v>
      </c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36">
        <f t="shared" si="635"/>
        <v>0</v>
      </c>
    </row>
    <row r="418" spans="1:35">
      <c r="A418" s="10">
        <v>8</v>
      </c>
      <c r="B418" s="11" t="s">
        <v>36</v>
      </c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36">
        <f t="shared" si="635"/>
        <v>0</v>
      </c>
    </row>
    <row r="419" spans="1:35">
      <c r="A419" s="10">
        <v>9</v>
      </c>
      <c r="B419" s="11" t="s">
        <v>37</v>
      </c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36">
        <f t="shared" si="635"/>
        <v>0</v>
      </c>
    </row>
    <row r="420" spans="1:35">
      <c r="A420" s="10">
        <v>10</v>
      </c>
      <c r="B420" s="11" t="s">
        <v>38</v>
      </c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36">
        <f t="shared" si="635"/>
        <v>0</v>
      </c>
    </row>
    <row r="421" spans="1:35">
      <c r="A421" s="10">
        <v>11</v>
      </c>
      <c r="B421" s="11" t="s">
        <v>39</v>
      </c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36">
        <f t="shared" si="635"/>
        <v>0</v>
      </c>
    </row>
    <row r="422" spans="1:35">
      <c r="A422" s="10">
        <v>12</v>
      </c>
      <c r="B422" s="11" t="s">
        <v>40</v>
      </c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36">
        <f t="shared" si="635"/>
        <v>0</v>
      </c>
    </row>
    <row r="423" spans="1:35">
      <c r="A423" s="10">
        <v>13</v>
      </c>
      <c r="B423" s="11" t="s">
        <v>41</v>
      </c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36">
        <f t="shared" si="635"/>
        <v>0</v>
      </c>
    </row>
    <row r="424" spans="1:35">
      <c r="A424" s="10">
        <v>14</v>
      </c>
      <c r="B424" s="11" t="s">
        <v>42</v>
      </c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36">
        <f t="shared" si="635"/>
        <v>0</v>
      </c>
    </row>
    <row r="425" spans="1:35">
      <c r="A425" s="10">
        <v>15</v>
      </c>
      <c r="B425" s="11" t="s">
        <v>43</v>
      </c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36">
        <f t="shared" si="635"/>
        <v>0</v>
      </c>
    </row>
    <row r="426" spans="1:35">
      <c r="A426" s="10">
        <v>16</v>
      </c>
      <c r="B426" s="11" t="s">
        <v>44</v>
      </c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36">
        <f t="shared" si="635"/>
        <v>0</v>
      </c>
    </row>
    <row r="427" spans="1:35">
      <c r="A427" s="10">
        <v>17</v>
      </c>
      <c r="B427" s="11" t="s">
        <v>45</v>
      </c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36">
        <f t="shared" si="635"/>
        <v>0</v>
      </c>
    </row>
    <row r="428" spans="1:35">
      <c r="A428" s="10">
        <v>18</v>
      </c>
      <c r="B428" s="11" t="s">
        <v>46</v>
      </c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36">
        <f t="shared" si="635"/>
        <v>0</v>
      </c>
    </row>
    <row r="429" spans="1:35">
      <c r="A429" s="10">
        <v>19</v>
      </c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36">
        <f t="shared" si="635"/>
        <v>0</v>
      </c>
    </row>
    <row r="430" spans="1:35">
      <c r="A430" s="10">
        <v>20</v>
      </c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36">
        <f t="shared" si="635"/>
        <v>0</v>
      </c>
    </row>
    <row r="431" spans="1:35">
      <c r="A431" s="10">
        <v>21</v>
      </c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36">
        <f t="shared" si="635"/>
        <v>0</v>
      </c>
    </row>
    <row r="432" spans="1:35">
      <c r="A432" s="10">
        <v>22</v>
      </c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36">
        <f t="shared" si="635"/>
        <v>0</v>
      </c>
    </row>
    <row r="433" spans="1:35">
      <c r="A433" s="10">
        <v>23</v>
      </c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36">
        <f t="shared" si="635"/>
        <v>0</v>
      </c>
    </row>
    <row r="434" spans="1:35">
      <c r="A434" s="10">
        <v>24</v>
      </c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36">
        <f t="shared" si="635"/>
        <v>0</v>
      </c>
    </row>
    <row r="435" spans="1:35">
      <c r="A435" s="10">
        <v>25</v>
      </c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36">
        <f t="shared" si="635"/>
        <v>0</v>
      </c>
    </row>
    <row r="436" spans="1:35">
      <c r="A436" s="10">
        <v>26</v>
      </c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36">
        <f t="shared" si="635"/>
        <v>0</v>
      </c>
    </row>
    <row r="437" spans="1:35">
      <c r="A437" s="10">
        <v>27</v>
      </c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36">
        <f t="shared" si="635"/>
        <v>0</v>
      </c>
    </row>
    <row r="438" spans="1:35">
      <c r="A438" s="10">
        <v>28</v>
      </c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36">
        <f t="shared" si="635"/>
        <v>0</v>
      </c>
    </row>
    <row r="439" spans="1:35">
      <c r="A439" s="10">
        <v>29</v>
      </c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36">
        <f t="shared" si="635"/>
        <v>0</v>
      </c>
    </row>
    <row r="440" spans="1:35">
      <c r="A440" s="10">
        <v>30</v>
      </c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36">
        <f t="shared" si="635"/>
        <v>0</v>
      </c>
    </row>
    <row r="441" spans="1:35" ht="13">
      <c r="A441" s="33"/>
      <c r="B441" s="34" t="s">
        <v>68</v>
      </c>
      <c r="C441" s="35">
        <f>SUM(C411:C440)</f>
        <v>0</v>
      </c>
      <c r="D441" s="35">
        <f t="shared" ref="D441" si="636">SUM(D411:D440)</f>
        <v>0</v>
      </c>
      <c r="E441" s="35">
        <f t="shared" ref="E441" si="637">SUM(E411:E440)</f>
        <v>0</v>
      </c>
      <c r="F441" s="35">
        <f t="shared" ref="F441" si="638">SUM(F411:F440)</f>
        <v>0</v>
      </c>
      <c r="G441" s="35">
        <f t="shared" ref="G441" si="639">SUM(G411:G440)</f>
        <v>0</v>
      </c>
      <c r="H441" s="35">
        <f t="shared" ref="H441" si="640">SUM(H411:H440)</f>
        <v>0</v>
      </c>
      <c r="I441" s="35">
        <f t="shared" ref="I441" si="641">SUM(I411:I440)</f>
        <v>0</v>
      </c>
      <c r="J441" s="35">
        <f t="shared" ref="J441" si="642">SUM(J411:J440)</f>
        <v>0</v>
      </c>
      <c r="K441" s="35">
        <f t="shared" ref="K441" si="643">SUM(K411:K440)</f>
        <v>0</v>
      </c>
      <c r="L441" s="35">
        <f t="shared" ref="L441" si="644">SUM(L411:L440)</f>
        <v>0</v>
      </c>
      <c r="M441" s="35">
        <f t="shared" ref="M441" si="645">SUM(M411:M440)</f>
        <v>0</v>
      </c>
      <c r="N441" s="35">
        <f t="shared" ref="N441" si="646">SUM(N411:N440)</f>
        <v>0</v>
      </c>
      <c r="O441" s="35">
        <f t="shared" ref="O441" si="647">SUM(O411:O440)</f>
        <v>0</v>
      </c>
      <c r="P441" s="35">
        <f t="shared" ref="P441" si="648">SUM(P411:P440)</f>
        <v>0</v>
      </c>
      <c r="Q441" s="35">
        <f t="shared" ref="Q441" si="649">SUM(Q411:Q440)</f>
        <v>0</v>
      </c>
      <c r="R441" s="35">
        <f t="shared" ref="R441" si="650">SUM(R411:R440)</f>
        <v>0</v>
      </c>
      <c r="S441" s="35">
        <f t="shared" ref="S441" si="651">SUM(S411:S440)</f>
        <v>0</v>
      </c>
      <c r="T441" s="35">
        <f t="shared" ref="T441" si="652">SUM(T411:T440)</f>
        <v>0</v>
      </c>
      <c r="U441" s="35">
        <f t="shared" ref="U441" si="653">SUM(U411:U440)</f>
        <v>0</v>
      </c>
      <c r="V441" s="35">
        <f t="shared" ref="V441" si="654">SUM(V411:V440)</f>
        <v>0</v>
      </c>
      <c r="W441" s="35">
        <f t="shared" ref="W441" si="655">SUM(W411:W440)</f>
        <v>0</v>
      </c>
      <c r="X441" s="35">
        <f t="shared" ref="X441" si="656">SUM(X411:X440)</f>
        <v>0</v>
      </c>
      <c r="Y441" s="35">
        <f t="shared" ref="Y441" si="657">SUM(Y411:Y440)</f>
        <v>0</v>
      </c>
      <c r="Z441" s="35">
        <f t="shared" ref="Z441" si="658">SUM(Z411:Z440)</f>
        <v>0</v>
      </c>
      <c r="AA441" s="35">
        <f t="shared" ref="AA441" si="659">SUM(AA411:AA440)</f>
        <v>0</v>
      </c>
      <c r="AB441" s="35">
        <f t="shared" ref="AB441" si="660">SUM(AB411:AB440)</f>
        <v>0</v>
      </c>
      <c r="AC441" s="35">
        <f t="shared" ref="AC441" si="661">SUM(AC411:AC440)</f>
        <v>0</v>
      </c>
      <c r="AD441" s="35">
        <f t="shared" ref="AD441" si="662">SUM(AD411:AD440)</f>
        <v>0</v>
      </c>
      <c r="AE441" s="35">
        <f t="shared" ref="AE441" si="663">SUM(AE411:AE440)</f>
        <v>0</v>
      </c>
      <c r="AF441" s="35">
        <f t="shared" ref="AF441" si="664">SUM(AF411:AF440)</f>
        <v>0</v>
      </c>
      <c r="AG441" s="35">
        <f t="shared" ref="AG441" si="665">SUM(AG411:AG440)</f>
        <v>0</v>
      </c>
      <c r="AH441" s="35">
        <f t="shared" ref="AH441" si="666">SUM(AH411:AH440)</f>
        <v>0</v>
      </c>
      <c r="AI441" s="36">
        <f t="shared" ref="AI441" si="667">SUM(AI411:AI440)</f>
        <v>0</v>
      </c>
    </row>
    <row r="442" spans="1:35">
      <c r="A442" s="10"/>
      <c r="B442" s="11" t="s">
        <v>69</v>
      </c>
      <c r="C442" s="27">
        <f>C441+C410</f>
        <v>0</v>
      </c>
      <c r="D442" s="27">
        <f t="shared" ref="D442" si="668">D441+D410</f>
        <v>0</v>
      </c>
      <c r="E442" s="27">
        <f t="shared" ref="E442" si="669">E441+E410</f>
        <v>0</v>
      </c>
      <c r="F442" s="27">
        <f t="shared" ref="F442" si="670">F441+F410</f>
        <v>0</v>
      </c>
      <c r="G442" s="27">
        <f t="shared" ref="G442" si="671">G441+G410</f>
        <v>0</v>
      </c>
      <c r="H442" s="27">
        <f t="shared" ref="H442" si="672">H441+H410</f>
        <v>0</v>
      </c>
      <c r="I442" s="27">
        <f t="shared" ref="I442" si="673">I441+I410</f>
        <v>0</v>
      </c>
      <c r="J442" s="27">
        <f t="shared" ref="J442" si="674">J441+J410</f>
        <v>0</v>
      </c>
      <c r="K442" s="27">
        <f t="shared" ref="K442" si="675">K441+K410</f>
        <v>0</v>
      </c>
      <c r="L442" s="27">
        <f t="shared" ref="L442" si="676">L441+L410</f>
        <v>0</v>
      </c>
      <c r="M442" s="27">
        <f t="shared" ref="M442" si="677">M441+M410</f>
        <v>0</v>
      </c>
      <c r="N442" s="27">
        <f t="shared" ref="N442" si="678">N441+N410</f>
        <v>0</v>
      </c>
      <c r="O442" s="27">
        <f t="shared" ref="O442" si="679">O441+O410</f>
        <v>0</v>
      </c>
      <c r="P442" s="27">
        <f t="shared" ref="P442" si="680">P441+P410</f>
        <v>0</v>
      </c>
      <c r="Q442" s="27">
        <f t="shared" ref="Q442" si="681">Q441+Q410</f>
        <v>0</v>
      </c>
      <c r="R442" s="27">
        <f t="shared" ref="R442" si="682">R441+R410</f>
        <v>0</v>
      </c>
      <c r="S442" s="27">
        <f t="shared" ref="S442" si="683">S441+S410</f>
        <v>0</v>
      </c>
      <c r="T442" s="27">
        <f t="shared" ref="T442" si="684">T441+T410</f>
        <v>0</v>
      </c>
      <c r="U442" s="27">
        <f t="shared" ref="U442" si="685">U441+U410</f>
        <v>0</v>
      </c>
      <c r="V442" s="27">
        <f t="shared" ref="V442" si="686">V441+V410</f>
        <v>0</v>
      </c>
      <c r="W442" s="27">
        <f t="shared" ref="W442" si="687">W441+W410</f>
        <v>0</v>
      </c>
      <c r="X442" s="27">
        <f t="shared" ref="X442" si="688">X441+X410</f>
        <v>0</v>
      </c>
      <c r="Y442" s="27">
        <f t="shared" ref="Y442" si="689">Y441+Y410</f>
        <v>0</v>
      </c>
      <c r="Z442" s="27">
        <f t="shared" ref="Z442" si="690">Z441+Z410</f>
        <v>0</v>
      </c>
      <c r="AA442" s="27">
        <f t="shared" ref="AA442" si="691">AA441+AA410</f>
        <v>0</v>
      </c>
      <c r="AB442" s="27">
        <f t="shared" ref="AB442" si="692">AB441+AB410</f>
        <v>0</v>
      </c>
      <c r="AC442" s="27">
        <f t="shared" ref="AC442" si="693">AC441+AC410</f>
        <v>0</v>
      </c>
      <c r="AD442" s="27">
        <f t="shared" ref="AD442" si="694">AD441+AD410</f>
        <v>0</v>
      </c>
      <c r="AE442" s="27">
        <f t="shared" ref="AE442" si="695">AE441+AE410</f>
        <v>0</v>
      </c>
      <c r="AF442" s="27">
        <f t="shared" ref="AF442" si="696">AF441+AF410</f>
        <v>0</v>
      </c>
      <c r="AG442" s="27">
        <f t="shared" ref="AG442" si="697">AG441+AG410</f>
        <v>0</v>
      </c>
      <c r="AH442" s="27">
        <f t="shared" ref="AH442" si="698">AH441+AH410</f>
        <v>0</v>
      </c>
      <c r="AI442" s="38">
        <f>AI441+AI410</f>
        <v>0</v>
      </c>
    </row>
    <row r="443" spans="1:35" ht="13">
      <c r="A443" s="10"/>
      <c r="B443" s="34" t="s">
        <v>72</v>
      </c>
      <c r="C443" s="43">
        <v>0</v>
      </c>
      <c r="D443" s="43">
        <v>0</v>
      </c>
      <c r="E443" s="43">
        <v>0</v>
      </c>
      <c r="F443" s="43">
        <v>0</v>
      </c>
      <c r="G443" s="43">
        <v>0</v>
      </c>
      <c r="H443" s="43">
        <v>0</v>
      </c>
      <c r="I443" s="43">
        <v>0</v>
      </c>
      <c r="J443" s="43">
        <v>0</v>
      </c>
      <c r="K443" s="43">
        <v>0</v>
      </c>
      <c r="L443" s="43">
        <v>0</v>
      </c>
      <c r="M443" s="43">
        <v>0</v>
      </c>
      <c r="N443" s="43">
        <v>0</v>
      </c>
      <c r="O443" s="43">
        <v>0</v>
      </c>
      <c r="P443" s="43">
        <v>0</v>
      </c>
      <c r="Q443" s="43">
        <v>0</v>
      </c>
      <c r="R443" s="43">
        <v>0</v>
      </c>
      <c r="S443" s="43">
        <v>0</v>
      </c>
      <c r="T443" s="43">
        <v>0</v>
      </c>
      <c r="U443" s="43">
        <v>0</v>
      </c>
      <c r="V443" s="43">
        <v>0</v>
      </c>
      <c r="W443" s="43">
        <v>0</v>
      </c>
      <c r="X443" s="43">
        <v>0</v>
      </c>
      <c r="Y443" s="43">
        <v>0</v>
      </c>
      <c r="Z443" s="43">
        <v>0</v>
      </c>
      <c r="AA443" s="43">
        <v>0</v>
      </c>
      <c r="AB443" s="43">
        <v>0</v>
      </c>
      <c r="AC443" s="43">
        <v>0</v>
      </c>
      <c r="AD443" s="43">
        <v>0</v>
      </c>
      <c r="AE443" s="43">
        <v>0</v>
      </c>
      <c r="AF443" s="43">
        <v>0</v>
      </c>
      <c r="AG443" s="43">
        <v>0</v>
      </c>
      <c r="AH443" s="43">
        <v>0</v>
      </c>
      <c r="AI443" s="38">
        <f>SUM(C443:AH443)</f>
        <v>0</v>
      </c>
    </row>
    <row r="444" spans="1:35" ht="5" customHeight="1">
      <c r="A444" s="10"/>
      <c r="AI444" s="39"/>
    </row>
    <row r="445" spans="1:35" ht="13">
      <c r="A445" s="40"/>
      <c r="B445" s="12" t="s">
        <v>83</v>
      </c>
      <c r="C445" s="41">
        <f>C442-C443</f>
        <v>0</v>
      </c>
      <c r="D445" s="41">
        <f t="shared" ref="D445:AI445" si="699">D442-D443</f>
        <v>0</v>
      </c>
      <c r="E445" s="41">
        <f t="shared" si="699"/>
        <v>0</v>
      </c>
      <c r="F445" s="41">
        <f t="shared" si="699"/>
        <v>0</v>
      </c>
      <c r="G445" s="41">
        <f t="shared" si="699"/>
        <v>0</v>
      </c>
      <c r="H445" s="41">
        <f t="shared" si="699"/>
        <v>0</v>
      </c>
      <c r="I445" s="41">
        <f t="shared" si="699"/>
        <v>0</v>
      </c>
      <c r="J445" s="41">
        <f t="shared" si="699"/>
        <v>0</v>
      </c>
      <c r="K445" s="41">
        <f t="shared" si="699"/>
        <v>0</v>
      </c>
      <c r="L445" s="41">
        <f t="shared" si="699"/>
        <v>0</v>
      </c>
      <c r="M445" s="41">
        <f t="shared" si="699"/>
        <v>0</v>
      </c>
      <c r="N445" s="41">
        <f t="shared" si="699"/>
        <v>0</v>
      </c>
      <c r="O445" s="41">
        <f t="shared" si="699"/>
        <v>0</v>
      </c>
      <c r="P445" s="41">
        <f t="shared" si="699"/>
        <v>0</v>
      </c>
      <c r="Q445" s="41">
        <f t="shared" si="699"/>
        <v>0</v>
      </c>
      <c r="R445" s="41">
        <f t="shared" si="699"/>
        <v>0</v>
      </c>
      <c r="S445" s="41">
        <f t="shared" si="699"/>
        <v>0</v>
      </c>
      <c r="T445" s="41">
        <f t="shared" si="699"/>
        <v>0</v>
      </c>
      <c r="U445" s="41">
        <f t="shared" si="699"/>
        <v>0</v>
      </c>
      <c r="V445" s="41">
        <f t="shared" si="699"/>
        <v>0</v>
      </c>
      <c r="W445" s="41">
        <f t="shared" si="699"/>
        <v>0</v>
      </c>
      <c r="X445" s="41">
        <f t="shared" si="699"/>
        <v>0</v>
      </c>
      <c r="Y445" s="41">
        <f t="shared" si="699"/>
        <v>0</v>
      </c>
      <c r="Z445" s="41">
        <f t="shared" si="699"/>
        <v>0</v>
      </c>
      <c r="AA445" s="41">
        <f t="shared" si="699"/>
        <v>0</v>
      </c>
      <c r="AB445" s="41">
        <f t="shared" si="699"/>
        <v>0</v>
      </c>
      <c r="AC445" s="41">
        <f t="shared" si="699"/>
        <v>0</v>
      </c>
      <c r="AD445" s="41">
        <f t="shared" si="699"/>
        <v>0</v>
      </c>
      <c r="AE445" s="41">
        <f t="shared" si="699"/>
        <v>0</v>
      </c>
      <c r="AF445" s="41">
        <f t="shared" si="699"/>
        <v>0</v>
      </c>
      <c r="AG445" s="41">
        <f t="shared" si="699"/>
        <v>0</v>
      </c>
      <c r="AH445" s="41">
        <f t="shared" si="699"/>
        <v>0</v>
      </c>
      <c r="AI445" s="42">
        <f t="shared" si="699"/>
        <v>0</v>
      </c>
    </row>
    <row r="446" spans="1:35">
      <c r="C446" s="37"/>
    </row>
    <row r="447" spans="1:35">
      <c r="C447" s="37"/>
    </row>
    <row r="448" spans="1:35">
      <c r="C448" s="37"/>
    </row>
    <row r="449" spans="3:3">
      <c r="C449" s="37"/>
    </row>
    <row r="450" spans="3:3">
      <c r="C450" s="37"/>
    </row>
    <row r="451" spans="3:3">
      <c r="C451" s="37"/>
    </row>
    <row r="452" spans="3:3">
      <c r="C452" s="37"/>
    </row>
    <row r="453" spans="3:3">
      <c r="C453" s="37"/>
    </row>
    <row r="454" spans="3:3">
      <c r="C454" s="37"/>
    </row>
    <row r="455" spans="3:3">
      <c r="C455" s="37"/>
    </row>
    <row r="456" spans="3:3">
      <c r="C456" s="37"/>
    </row>
    <row r="457" spans="3:3">
      <c r="C457" s="37"/>
    </row>
    <row r="458" spans="3:3">
      <c r="C458" s="37"/>
    </row>
    <row r="459" spans="3:3">
      <c r="C459" s="37"/>
    </row>
  </sheetData>
  <sortState xmlns:xlrd2="http://schemas.microsoft.com/office/spreadsheetml/2017/richdata2" ref="A4:AI21">
    <sortCondition descending="1" ref="AI4:AI21"/>
  </sortState>
  <pageMargins left="0.7" right="0.7" top="0.75" bottom="0.75" header="0.3" footer="0.3"/>
  <ignoredErrors>
    <ignoredError sqref="C34:AH3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9806-3BEA-47C5-B6E8-25E3BEF73BA4}">
  <dimension ref="A2:O52"/>
  <sheetViews>
    <sheetView showGridLines="0" zoomScale="8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2.5"/>
  <cols>
    <col min="1" max="1" width="8.7265625" style="49"/>
    <col min="2" max="2" width="28.90625" style="11" bestFit="1" customWidth="1"/>
    <col min="3" max="3" width="7.6328125" style="11" bestFit="1" customWidth="1"/>
    <col min="4" max="4" width="9.1796875" style="11" bestFit="1" customWidth="1"/>
    <col min="5" max="14" width="8.7265625" style="11"/>
    <col min="15" max="15" width="7.6328125" style="11" bestFit="1" customWidth="1"/>
    <col min="16" max="16384" width="8.7265625" style="11"/>
  </cols>
  <sheetData>
    <row r="2" spans="1:15" ht="13">
      <c r="A2" s="46" t="s">
        <v>64</v>
      </c>
      <c r="B2" s="31" t="s">
        <v>84</v>
      </c>
      <c r="C2" s="45" t="s">
        <v>85</v>
      </c>
      <c r="D2" s="45" t="s">
        <v>86</v>
      </c>
      <c r="E2" s="45" t="s">
        <v>87</v>
      </c>
      <c r="F2" s="45" t="s">
        <v>88</v>
      </c>
      <c r="G2" s="45" t="s">
        <v>89</v>
      </c>
      <c r="H2" s="45" t="s">
        <v>90</v>
      </c>
      <c r="I2" s="45" t="s">
        <v>91</v>
      </c>
      <c r="J2" s="45" t="s">
        <v>92</v>
      </c>
      <c r="K2" s="45" t="s">
        <v>93</v>
      </c>
      <c r="L2" s="45" t="s">
        <v>94</v>
      </c>
      <c r="M2" s="45" t="s">
        <v>95</v>
      </c>
      <c r="N2" s="45" t="s">
        <v>96</v>
      </c>
      <c r="O2" s="32" t="s">
        <v>67</v>
      </c>
    </row>
    <row r="3" spans="1:15" s="29" customFormat="1" ht="13">
      <c r="A3" s="54">
        <v>1</v>
      </c>
      <c r="B3" s="29" t="s">
        <v>120</v>
      </c>
      <c r="C3" s="57">
        <f>12366.66+811</f>
        <v>13177.66</v>
      </c>
      <c r="D3" s="57">
        <f>7000+11238</f>
        <v>18238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6">
        <f>SUM(C3:N3)</f>
        <v>31415.66</v>
      </c>
    </row>
    <row r="4" spans="1:15" s="29" customFormat="1" ht="13">
      <c r="A4" s="54">
        <v>2</v>
      </c>
      <c r="B4" s="29" t="s">
        <v>121</v>
      </c>
      <c r="C4" s="55">
        <f>SUBTOTAL(9,C5:C6)</f>
        <v>0</v>
      </c>
      <c r="D4" s="55">
        <f t="shared" ref="D4:N4" si="0">SUBTOTAL(9,D5:D6)</f>
        <v>0</v>
      </c>
      <c r="E4" s="55">
        <f t="shared" si="0"/>
        <v>0</v>
      </c>
      <c r="F4" s="55">
        <f t="shared" si="0"/>
        <v>0</v>
      </c>
      <c r="G4" s="55">
        <f t="shared" si="0"/>
        <v>0</v>
      </c>
      <c r="H4" s="55">
        <f t="shared" si="0"/>
        <v>0</v>
      </c>
      <c r="I4" s="55">
        <f t="shared" si="0"/>
        <v>0</v>
      </c>
      <c r="J4" s="55">
        <f t="shared" si="0"/>
        <v>0</v>
      </c>
      <c r="K4" s="55">
        <f t="shared" si="0"/>
        <v>0</v>
      </c>
      <c r="L4" s="55">
        <f t="shared" si="0"/>
        <v>0</v>
      </c>
      <c r="M4" s="55">
        <f t="shared" si="0"/>
        <v>0</v>
      </c>
      <c r="N4" s="55">
        <f t="shared" si="0"/>
        <v>0</v>
      </c>
      <c r="O4" s="56">
        <f>SUM(C4:N4)</f>
        <v>0</v>
      </c>
    </row>
    <row r="5" spans="1:15">
      <c r="A5" s="47"/>
      <c r="B5" s="11" t="s">
        <v>97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36">
        <f t="shared" ref="O5:O6" si="1">SUM(C5:N5)</f>
        <v>0</v>
      </c>
    </row>
    <row r="6" spans="1:15">
      <c r="A6" s="47"/>
      <c r="B6" s="11" t="s">
        <v>98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36">
        <f t="shared" si="1"/>
        <v>0</v>
      </c>
    </row>
    <row r="7" spans="1:15" ht="6" customHeight="1">
      <c r="A7" s="47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1:15" s="29" customFormat="1" ht="13">
      <c r="A8" s="54">
        <v>3</v>
      </c>
      <c r="B8" s="29" t="s">
        <v>122</v>
      </c>
      <c r="C8" s="55">
        <f>SUBTOTAL(9,C9:C14)</f>
        <v>6064.24</v>
      </c>
      <c r="D8" s="55">
        <f t="shared" ref="D8:O8" si="2">SUBTOTAL(9,D9:D14)</f>
        <v>2607.46</v>
      </c>
      <c r="E8" s="55">
        <f t="shared" si="2"/>
        <v>0</v>
      </c>
      <c r="F8" s="55">
        <f t="shared" si="2"/>
        <v>0</v>
      </c>
      <c r="G8" s="55">
        <f t="shared" si="2"/>
        <v>0</v>
      </c>
      <c r="H8" s="55">
        <f t="shared" si="2"/>
        <v>0</v>
      </c>
      <c r="I8" s="55">
        <f t="shared" si="2"/>
        <v>0</v>
      </c>
      <c r="J8" s="55">
        <f t="shared" si="2"/>
        <v>0</v>
      </c>
      <c r="K8" s="55">
        <f t="shared" si="2"/>
        <v>0</v>
      </c>
      <c r="L8" s="55">
        <f t="shared" si="2"/>
        <v>0</v>
      </c>
      <c r="M8" s="55">
        <f t="shared" si="2"/>
        <v>0</v>
      </c>
      <c r="N8" s="55">
        <f t="shared" si="2"/>
        <v>0</v>
      </c>
      <c r="O8" s="56">
        <f t="shared" si="2"/>
        <v>8671.7000000000007</v>
      </c>
    </row>
    <row r="9" spans="1:15">
      <c r="A9" s="47" t="s">
        <v>123</v>
      </c>
      <c r="B9" s="11" t="s">
        <v>99</v>
      </c>
      <c r="C9" s="52">
        <f>SUBTOTAL(9,C10:C11)</f>
        <v>4911.34</v>
      </c>
      <c r="D9" s="52">
        <f t="shared" ref="D9" si="3">SUBTOTAL(9,D10:D11)</f>
        <v>2407.46</v>
      </c>
      <c r="E9" s="52">
        <f t="shared" ref="E9" si="4">SUBTOTAL(9,E10:E11)</f>
        <v>0</v>
      </c>
      <c r="F9" s="52">
        <f t="shared" ref="F9" si="5">SUBTOTAL(9,F10:F11)</f>
        <v>0</v>
      </c>
      <c r="G9" s="52">
        <f t="shared" ref="G9" si="6">SUBTOTAL(9,G10:G11)</f>
        <v>0</v>
      </c>
      <c r="H9" s="52">
        <f t="shared" ref="H9" si="7">SUBTOTAL(9,H10:H11)</f>
        <v>0</v>
      </c>
      <c r="I9" s="52">
        <f t="shared" ref="I9" si="8">SUBTOTAL(9,I10:I11)</f>
        <v>0</v>
      </c>
      <c r="J9" s="52">
        <f t="shared" ref="J9" si="9">SUBTOTAL(9,J10:J11)</f>
        <v>0</v>
      </c>
      <c r="K9" s="52">
        <f t="shared" ref="K9" si="10">SUBTOTAL(9,K10:K11)</f>
        <v>0</v>
      </c>
      <c r="L9" s="52">
        <f t="shared" ref="L9" si="11">SUBTOTAL(9,L10:L11)</f>
        <v>0</v>
      </c>
      <c r="M9" s="52">
        <f t="shared" ref="M9" si="12">SUBTOTAL(9,M10:M11)</f>
        <v>0</v>
      </c>
      <c r="N9" s="52">
        <f t="shared" ref="N9:O9" si="13">SUBTOTAL(9,N10:N11)</f>
        <v>0</v>
      </c>
      <c r="O9" s="36">
        <f t="shared" si="13"/>
        <v>7318.8</v>
      </c>
    </row>
    <row r="10" spans="1:15">
      <c r="A10" s="47"/>
      <c r="B10" s="11" t="s">
        <v>97</v>
      </c>
      <c r="C10" s="43">
        <v>2005.06</v>
      </c>
      <c r="D10" s="43">
        <v>1907.46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36">
        <f t="shared" ref="O10:O11" si="14">SUM(C10:N10)</f>
        <v>3912.52</v>
      </c>
    </row>
    <row r="11" spans="1:15">
      <c r="A11" s="47"/>
      <c r="B11" s="11" t="s">
        <v>98</v>
      </c>
      <c r="C11" s="43">
        <v>2906.28</v>
      </c>
      <c r="D11" s="43">
        <v>500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36">
        <f t="shared" si="14"/>
        <v>3406.28</v>
      </c>
    </row>
    <row r="12" spans="1:15">
      <c r="A12" s="47" t="s">
        <v>124</v>
      </c>
      <c r="B12" s="11" t="s">
        <v>100</v>
      </c>
      <c r="C12" s="52">
        <f>SUBTOTAL(9,C13:C14)</f>
        <v>1152.9000000000001</v>
      </c>
      <c r="D12" s="52">
        <f t="shared" ref="D12" si="15">SUBTOTAL(9,D13:D14)</f>
        <v>200</v>
      </c>
      <c r="E12" s="52">
        <f t="shared" ref="E12" si="16">SUBTOTAL(9,E13:E14)</f>
        <v>0</v>
      </c>
      <c r="F12" s="52">
        <f t="shared" ref="F12" si="17">SUBTOTAL(9,F13:F14)</f>
        <v>0</v>
      </c>
      <c r="G12" s="52">
        <f t="shared" ref="G12" si="18">SUBTOTAL(9,G13:G14)</f>
        <v>0</v>
      </c>
      <c r="H12" s="52">
        <f t="shared" ref="H12" si="19">SUBTOTAL(9,H13:H14)</f>
        <v>0</v>
      </c>
      <c r="I12" s="52">
        <f t="shared" ref="I12" si="20">SUBTOTAL(9,I13:I14)</f>
        <v>0</v>
      </c>
      <c r="J12" s="52">
        <f t="shared" ref="J12" si="21">SUBTOTAL(9,J13:J14)</f>
        <v>0</v>
      </c>
      <c r="K12" s="52">
        <f t="shared" ref="K12" si="22">SUBTOTAL(9,K13:K14)</f>
        <v>0</v>
      </c>
      <c r="L12" s="52">
        <f t="shared" ref="L12" si="23">SUBTOTAL(9,L13:L14)</f>
        <v>0</v>
      </c>
      <c r="M12" s="52">
        <f t="shared" ref="M12" si="24">SUBTOTAL(9,M13:M14)</f>
        <v>0</v>
      </c>
      <c r="N12" s="52">
        <f t="shared" ref="N12:O12" si="25">SUBTOTAL(9,N13:N14)</f>
        <v>0</v>
      </c>
      <c r="O12" s="36">
        <f t="shared" si="25"/>
        <v>1352.9</v>
      </c>
    </row>
    <row r="13" spans="1:15">
      <c r="A13" s="47"/>
      <c r="B13" s="11" t="s">
        <v>97</v>
      </c>
      <c r="C13" s="43">
        <f>[2]JANUARY!$AI$26</f>
        <v>1152.9000000000001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36">
        <f t="shared" ref="O13:O14" si="26">SUM(C13:N13)</f>
        <v>1152.9000000000001</v>
      </c>
    </row>
    <row r="14" spans="1:15">
      <c r="A14" s="47"/>
      <c r="B14" s="11" t="s">
        <v>98</v>
      </c>
      <c r="C14" s="43"/>
      <c r="D14" s="43">
        <v>200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36">
        <f t="shared" si="26"/>
        <v>200</v>
      </c>
    </row>
    <row r="15" spans="1:15" ht="7" customHeight="1">
      <c r="A15" s="47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3"/>
    </row>
    <row r="16" spans="1:15" s="29" customFormat="1" ht="13">
      <c r="A16" s="54">
        <v>4</v>
      </c>
      <c r="B16" s="29" t="s">
        <v>125</v>
      </c>
      <c r="C16" s="55">
        <f>SUBTOTAL(9,C17:C26)</f>
        <v>230</v>
      </c>
      <c r="D16" s="55">
        <f t="shared" ref="D16:O16" si="27">SUBTOTAL(9,D17:D26)</f>
        <v>1580</v>
      </c>
      <c r="E16" s="55">
        <f t="shared" si="27"/>
        <v>0</v>
      </c>
      <c r="F16" s="55">
        <f t="shared" si="27"/>
        <v>0</v>
      </c>
      <c r="G16" s="55">
        <f t="shared" si="27"/>
        <v>0</v>
      </c>
      <c r="H16" s="55">
        <f t="shared" si="27"/>
        <v>0</v>
      </c>
      <c r="I16" s="55">
        <f t="shared" si="27"/>
        <v>0</v>
      </c>
      <c r="J16" s="55">
        <f t="shared" si="27"/>
        <v>0</v>
      </c>
      <c r="K16" s="55">
        <f t="shared" si="27"/>
        <v>0</v>
      </c>
      <c r="L16" s="55">
        <f t="shared" si="27"/>
        <v>0</v>
      </c>
      <c r="M16" s="55">
        <f t="shared" si="27"/>
        <v>0</v>
      </c>
      <c r="N16" s="55">
        <f t="shared" si="27"/>
        <v>0</v>
      </c>
      <c r="O16" s="56">
        <f t="shared" si="27"/>
        <v>1810</v>
      </c>
    </row>
    <row r="17" spans="1:15">
      <c r="A17" s="47" t="s">
        <v>123</v>
      </c>
      <c r="B17" s="11" t="s">
        <v>103</v>
      </c>
      <c r="C17" s="43">
        <v>100</v>
      </c>
      <c r="D17" s="43">
        <f>130+450</f>
        <v>580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36">
        <f>SUM(C17:N17)</f>
        <v>680</v>
      </c>
    </row>
    <row r="18" spans="1:15">
      <c r="A18" s="47" t="s">
        <v>124</v>
      </c>
      <c r="B18" s="11" t="s">
        <v>106</v>
      </c>
      <c r="C18" s="43">
        <v>100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36">
        <f>SUM(C18:N18)</f>
        <v>100</v>
      </c>
    </row>
    <row r="19" spans="1:15">
      <c r="A19" s="47" t="s">
        <v>128</v>
      </c>
      <c r="B19" s="11" t="s">
        <v>104</v>
      </c>
      <c r="C19" s="43">
        <v>10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36">
        <f>SUM(C19:N19)</f>
        <v>10</v>
      </c>
    </row>
    <row r="20" spans="1:15">
      <c r="A20" s="47" t="s">
        <v>129</v>
      </c>
      <c r="B20" s="11" t="s">
        <v>107</v>
      </c>
      <c r="C20" s="43">
        <v>20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36">
        <f>SUM(C20:N20)</f>
        <v>20</v>
      </c>
    </row>
    <row r="21" spans="1:15">
      <c r="A21" s="47" t="s">
        <v>130</v>
      </c>
      <c r="B21" s="11" t="s">
        <v>126</v>
      </c>
      <c r="C21" s="43"/>
      <c r="D21" s="43">
        <v>1000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36">
        <f t="shared" ref="O21:O26" si="28">SUM(C21:N21)</f>
        <v>1000</v>
      </c>
    </row>
    <row r="22" spans="1:15">
      <c r="A22" s="47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36">
        <f t="shared" si="28"/>
        <v>0</v>
      </c>
    </row>
    <row r="23" spans="1:15">
      <c r="A23" s="47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36">
        <f t="shared" si="28"/>
        <v>0</v>
      </c>
    </row>
    <row r="24" spans="1:15">
      <c r="A24" s="47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36">
        <f t="shared" si="28"/>
        <v>0</v>
      </c>
    </row>
    <row r="25" spans="1:15">
      <c r="A25" s="47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36">
        <f t="shared" si="28"/>
        <v>0</v>
      </c>
    </row>
    <row r="26" spans="1:15">
      <c r="A26" s="47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36">
        <f t="shared" si="28"/>
        <v>0</v>
      </c>
    </row>
    <row r="27" spans="1:15" ht="7" customHeight="1">
      <c r="A27" s="47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</row>
    <row r="28" spans="1:15" s="29" customFormat="1" ht="13">
      <c r="A28" s="54">
        <v>5</v>
      </c>
      <c r="B28" s="29" t="s">
        <v>127</v>
      </c>
      <c r="C28" s="55">
        <f>SUBTOTAL(9,C29:C37)</f>
        <v>2287.5</v>
      </c>
      <c r="D28" s="55">
        <f t="shared" ref="D28:O28" si="29">SUBTOTAL(9,D29:D37)</f>
        <v>100</v>
      </c>
      <c r="E28" s="55">
        <f t="shared" si="29"/>
        <v>0</v>
      </c>
      <c r="F28" s="55">
        <f t="shared" si="29"/>
        <v>0</v>
      </c>
      <c r="G28" s="55">
        <f t="shared" si="29"/>
        <v>0</v>
      </c>
      <c r="H28" s="55">
        <f t="shared" si="29"/>
        <v>0</v>
      </c>
      <c r="I28" s="55">
        <f t="shared" si="29"/>
        <v>0</v>
      </c>
      <c r="J28" s="55">
        <f t="shared" si="29"/>
        <v>0</v>
      </c>
      <c r="K28" s="55">
        <f t="shared" si="29"/>
        <v>0</v>
      </c>
      <c r="L28" s="55">
        <f t="shared" si="29"/>
        <v>0</v>
      </c>
      <c r="M28" s="55">
        <f t="shared" si="29"/>
        <v>0</v>
      </c>
      <c r="N28" s="55">
        <f t="shared" si="29"/>
        <v>0</v>
      </c>
      <c r="O28" s="56">
        <f t="shared" si="29"/>
        <v>2387.5</v>
      </c>
    </row>
    <row r="29" spans="1:15">
      <c r="A29" s="47" t="s">
        <v>123</v>
      </c>
      <c r="B29" s="11" t="s">
        <v>101</v>
      </c>
      <c r="C29" s="43">
        <v>150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36">
        <f t="shared" ref="O29:O31" si="30">SUM(C29:N29)</f>
        <v>150</v>
      </c>
    </row>
    <row r="30" spans="1:15">
      <c r="A30" s="47" t="s">
        <v>124</v>
      </c>
      <c r="B30" s="11" t="s">
        <v>105</v>
      </c>
      <c r="C30" s="43">
        <v>737.5</v>
      </c>
      <c r="D30" s="43">
        <v>100</v>
      </c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36">
        <f>SUM(C30:N30)</f>
        <v>837.5</v>
      </c>
    </row>
    <row r="31" spans="1:15">
      <c r="A31" s="47" t="s">
        <v>128</v>
      </c>
      <c r="B31" s="11" t="s">
        <v>108</v>
      </c>
      <c r="C31" s="43">
        <v>100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36">
        <f t="shared" si="30"/>
        <v>100</v>
      </c>
    </row>
    <row r="32" spans="1:15">
      <c r="A32" s="47" t="s">
        <v>129</v>
      </c>
      <c r="B32" s="11" t="s">
        <v>110</v>
      </c>
      <c r="C32" s="43">
        <v>1300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36">
        <f t="shared" ref="O32:O37" si="31">SUM(C32:N32)</f>
        <v>1300</v>
      </c>
    </row>
    <row r="33" spans="1:15">
      <c r="A33" s="47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36">
        <f t="shared" si="31"/>
        <v>0</v>
      </c>
    </row>
    <row r="34" spans="1:15">
      <c r="A34" s="47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36">
        <f t="shared" si="31"/>
        <v>0</v>
      </c>
    </row>
    <row r="35" spans="1:15">
      <c r="A35" s="47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36">
        <f t="shared" si="31"/>
        <v>0</v>
      </c>
    </row>
    <row r="36" spans="1:15">
      <c r="A36" s="47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36">
        <f t="shared" si="31"/>
        <v>0</v>
      </c>
    </row>
    <row r="37" spans="1:15">
      <c r="A37" s="47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36">
        <f t="shared" si="31"/>
        <v>0</v>
      </c>
    </row>
    <row r="38" spans="1:15" ht="7" customHeight="1">
      <c r="A38" s="47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</row>
    <row r="39" spans="1:15" s="29" customFormat="1" ht="13">
      <c r="A39" s="54">
        <v>6</v>
      </c>
      <c r="B39" s="29" t="s">
        <v>131</v>
      </c>
      <c r="C39" s="55">
        <f>SUBTOTAL(9,C40:C43)</f>
        <v>2500</v>
      </c>
      <c r="D39" s="55">
        <f t="shared" ref="D39:O39" si="32">SUBTOTAL(9,D40:D43)</f>
        <v>2740</v>
      </c>
      <c r="E39" s="55">
        <f t="shared" si="32"/>
        <v>0</v>
      </c>
      <c r="F39" s="55">
        <f t="shared" si="32"/>
        <v>0</v>
      </c>
      <c r="G39" s="55">
        <f t="shared" si="32"/>
        <v>0</v>
      </c>
      <c r="H39" s="55">
        <f t="shared" si="32"/>
        <v>0</v>
      </c>
      <c r="I39" s="55">
        <f t="shared" si="32"/>
        <v>0</v>
      </c>
      <c r="J39" s="55">
        <f t="shared" si="32"/>
        <v>0</v>
      </c>
      <c r="K39" s="55">
        <f t="shared" si="32"/>
        <v>0</v>
      </c>
      <c r="L39" s="55">
        <f t="shared" si="32"/>
        <v>0</v>
      </c>
      <c r="M39" s="55">
        <f t="shared" si="32"/>
        <v>0</v>
      </c>
      <c r="N39" s="55">
        <f t="shared" si="32"/>
        <v>0</v>
      </c>
      <c r="O39" s="56">
        <f t="shared" si="32"/>
        <v>5240</v>
      </c>
    </row>
    <row r="40" spans="1:15">
      <c r="A40" s="47" t="s">
        <v>123</v>
      </c>
      <c r="B40" s="11" t="s">
        <v>109</v>
      </c>
      <c r="C40" s="43">
        <v>2000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36">
        <f t="shared" ref="O40" si="33">SUM(C40:N40)</f>
        <v>2000</v>
      </c>
    </row>
    <row r="41" spans="1:15">
      <c r="A41" s="47" t="s">
        <v>124</v>
      </c>
      <c r="B41" s="11" t="s">
        <v>51</v>
      </c>
      <c r="C41" s="43"/>
      <c r="D41" s="43">
        <v>2240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36">
        <f t="shared" ref="O41" si="34">SUM(C41:N41)</f>
        <v>2240</v>
      </c>
    </row>
    <row r="42" spans="1:15">
      <c r="A42" s="47" t="s">
        <v>128</v>
      </c>
      <c r="B42" s="11" t="s">
        <v>102</v>
      </c>
      <c r="C42" s="43">
        <v>500</v>
      </c>
      <c r="D42" s="43">
        <v>500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36">
        <f>SUM(C42:N42)</f>
        <v>1000</v>
      </c>
    </row>
    <row r="43" spans="1:15">
      <c r="A43" s="47" t="s">
        <v>129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36">
        <f t="shared" ref="O43:O47" si="35">SUM(C43:N43)</f>
        <v>0</v>
      </c>
    </row>
    <row r="44" spans="1:15" ht="7" customHeight="1">
      <c r="A44" s="47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spans="1:15">
      <c r="A45" s="47">
        <v>7</v>
      </c>
      <c r="B45" s="11" t="s">
        <v>138</v>
      </c>
      <c r="C45" s="43">
        <f>'[1]Revised Jan'!$L$1</f>
        <v>2385.2400000000002</v>
      </c>
      <c r="D45" s="43">
        <f>'[1]Revised Feb'!$L$1</f>
        <v>1243.29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36">
        <f t="shared" si="35"/>
        <v>3628.53</v>
      </c>
    </row>
    <row r="46" spans="1:15">
      <c r="A46" s="47">
        <v>8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36">
        <f t="shared" si="35"/>
        <v>0</v>
      </c>
    </row>
    <row r="47" spans="1:15">
      <c r="A47" s="47">
        <v>9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36">
        <f t="shared" si="35"/>
        <v>0</v>
      </c>
    </row>
    <row r="48" spans="1:15" ht="13">
      <c r="A48" s="48"/>
      <c r="B48" s="25" t="s">
        <v>67</v>
      </c>
      <c r="C48" s="28">
        <f>C3+C4+C8+C16+C28+C39+C45+C46+C47</f>
        <v>26644.640000000003</v>
      </c>
      <c r="D48" s="28">
        <f t="shared" ref="D48:O48" si="36">D3+D4+D8+D16+D28+D39+D45+D46+D47</f>
        <v>26508.75</v>
      </c>
      <c r="E48" s="28">
        <f t="shared" si="36"/>
        <v>0</v>
      </c>
      <c r="F48" s="28">
        <f t="shared" si="36"/>
        <v>0</v>
      </c>
      <c r="G48" s="28">
        <f t="shared" si="36"/>
        <v>0</v>
      </c>
      <c r="H48" s="28">
        <f t="shared" si="36"/>
        <v>0</v>
      </c>
      <c r="I48" s="28">
        <f t="shared" si="36"/>
        <v>0</v>
      </c>
      <c r="J48" s="28">
        <f t="shared" si="36"/>
        <v>0</v>
      </c>
      <c r="K48" s="28">
        <f t="shared" si="36"/>
        <v>0</v>
      </c>
      <c r="L48" s="28">
        <f t="shared" si="36"/>
        <v>0</v>
      </c>
      <c r="M48" s="28">
        <f t="shared" si="36"/>
        <v>0</v>
      </c>
      <c r="N48" s="28">
        <f t="shared" si="36"/>
        <v>0</v>
      </c>
      <c r="O48" s="28">
        <f t="shared" si="36"/>
        <v>53153.39</v>
      </c>
    </row>
    <row r="49" spans="2:15" ht="6.5" customHeight="1"/>
    <row r="50" spans="2:15">
      <c r="B50" s="11" t="s">
        <v>115</v>
      </c>
      <c r="C50" s="26">
        <f>'Daily Expenses'!AI34</f>
        <v>17547.940000000002</v>
      </c>
      <c r="D50" s="26">
        <f>'Daily Expenses'!AI75</f>
        <v>3208.1800000000003</v>
      </c>
      <c r="O50" s="26">
        <f>SUM(C50:N50)</f>
        <v>20756.120000000003</v>
      </c>
    </row>
    <row r="51" spans="2:15" ht="7.5" customHeight="1"/>
    <row r="52" spans="2:15">
      <c r="B52" s="11" t="s">
        <v>60</v>
      </c>
      <c r="C52" s="27">
        <f>C48+C50</f>
        <v>44192.58</v>
      </c>
      <c r="D52" s="27">
        <f t="shared" ref="D52:O52" si="37">D48+D50</f>
        <v>29716.93</v>
      </c>
      <c r="E52" s="27">
        <f t="shared" si="37"/>
        <v>0</v>
      </c>
      <c r="F52" s="27">
        <f t="shared" si="37"/>
        <v>0</v>
      </c>
      <c r="G52" s="27">
        <f t="shared" si="37"/>
        <v>0</v>
      </c>
      <c r="H52" s="27">
        <f t="shared" si="37"/>
        <v>0</v>
      </c>
      <c r="I52" s="27">
        <f t="shared" si="37"/>
        <v>0</v>
      </c>
      <c r="J52" s="27">
        <f t="shared" si="37"/>
        <v>0</v>
      </c>
      <c r="K52" s="27">
        <f t="shared" si="37"/>
        <v>0</v>
      </c>
      <c r="L52" s="27">
        <f t="shared" si="37"/>
        <v>0</v>
      </c>
      <c r="M52" s="27">
        <f t="shared" si="37"/>
        <v>0</v>
      </c>
      <c r="N52" s="27">
        <f t="shared" si="37"/>
        <v>0</v>
      </c>
      <c r="O52" s="27">
        <f t="shared" si="37"/>
        <v>73909.510000000009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9C65-1F3B-4BA8-94DF-0811A3EE6268}">
  <dimension ref="A2:E25"/>
  <sheetViews>
    <sheetView showGridLines="0" tabSelected="1" workbookViewId="0">
      <selection activeCell="E13" sqref="E13"/>
    </sheetView>
  </sheetViews>
  <sheetFormatPr defaultRowHeight="14.5"/>
  <cols>
    <col min="1" max="1" width="28.7265625" bestFit="1" customWidth="1"/>
    <col min="2" max="2" width="8.26953125" bestFit="1" customWidth="1"/>
    <col min="3" max="3" width="1.453125" customWidth="1"/>
    <col min="4" max="4" width="28.7265625" bestFit="1" customWidth="1"/>
    <col min="5" max="5" width="8.54296875" bestFit="1" customWidth="1"/>
  </cols>
  <sheetData>
    <row r="2" spans="1:5">
      <c r="A2" s="7" t="s">
        <v>9</v>
      </c>
    </row>
    <row r="3" spans="1:5">
      <c r="A3" s="7" t="s">
        <v>10</v>
      </c>
    </row>
    <row r="4" spans="1:5">
      <c r="A4" s="3" t="s">
        <v>3</v>
      </c>
      <c r="B4" s="4"/>
      <c r="D4" s="3"/>
      <c r="E4" s="4"/>
    </row>
    <row r="5" spans="1:5">
      <c r="A5" s="5" t="s">
        <v>11</v>
      </c>
      <c r="B5" s="6" t="s">
        <v>12</v>
      </c>
      <c r="C5" s="7"/>
      <c r="D5" s="5" t="s">
        <v>19</v>
      </c>
      <c r="E5" s="6" t="s">
        <v>12</v>
      </c>
    </row>
    <row r="6" spans="1:5" ht="8.5" customHeight="1"/>
    <row r="7" spans="1:5">
      <c r="A7" t="s">
        <v>13</v>
      </c>
      <c r="B7" s="8"/>
      <c r="D7" t="s">
        <v>22</v>
      </c>
      <c r="E7" s="8"/>
    </row>
    <row r="8" spans="1:5" ht="6" customHeight="1">
      <c r="B8" s="8"/>
      <c r="E8" s="8"/>
    </row>
    <row r="9" spans="1:5">
      <c r="A9" t="s">
        <v>14</v>
      </c>
      <c r="B9" s="8"/>
      <c r="D9" t="s">
        <v>20</v>
      </c>
      <c r="E9" s="8"/>
    </row>
    <row r="10" spans="1:5">
      <c r="B10" s="8"/>
      <c r="D10" t="s">
        <v>21</v>
      </c>
      <c r="E10" s="8"/>
    </row>
    <row r="11" spans="1:5">
      <c r="B11" s="8"/>
      <c r="E11" s="8"/>
    </row>
    <row r="12" spans="1:5">
      <c r="B12" s="8"/>
      <c r="E12" s="8"/>
    </row>
    <row r="13" spans="1:5">
      <c r="A13" t="s">
        <v>15</v>
      </c>
      <c r="B13" s="8"/>
      <c r="D13" t="s">
        <v>23</v>
      </c>
      <c r="E13" s="8"/>
    </row>
    <row r="14" spans="1:5">
      <c r="B14" s="8"/>
      <c r="D14" t="s">
        <v>24</v>
      </c>
      <c r="E14" s="8"/>
    </row>
    <row r="15" spans="1:5">
      <c r="B15" s="8"/>
      <c r="E15" s="8"/>
    </row>
    <row r="16" spans="1:5">
      <c r="A16" t="s">
        <v>16</v>
      </c>
      <c r="B16" s="8"/>
      <c r="E16" s="8"/>
    </row>
    <row r="17" spans="1:5">
      <c r="B17" s="8"/>
      <c r="E17" s="8"/>
    </row>
    <row r="18" spans="1:5">
      <c r="B18" s="8"/>
      <c r="E18" s="8"/>
    </row>
    <row r="19" spans="1:5">
      <c r="A19" t="s">
        <v>17</v>
      </c>
      <c r="B19" s="8"/>
      <c r="D19" t="s">
        <v>25</v>
      </c>
      <c r="E19" s="8">
        <v>300000</v>
      </c>
    </row>
    <row r="20" spans="1:5" ht="7.5" customHeight="1">
      <c r="B20" s="8"/>
      <c r="E20" s="8"/>
    </row>
    <row r="21" spans="1:5">
      <c r="A21" t="s">
        <v>18</v>
      </c>
      <c r="B21" s="8"/>
      <c r="D21" t="s">
        <v>26</v>
      </c>
      <c r="E21" s="8"/>
    </row>
    <row r="22" spans="1:5">
      <c r="B22" s="8"/>
      <c r="D22" t="s">
        <v>27</v>
      </c>
      <c r="E22" s="8"/>
    </row>
    <row r="23" spans="1:5">
      <c r="B23" s="8"/>
      <c r="E23" s="8"/>
    </row>
    <row r="24" spans="1:5">
      <c r="B24" s="8"/>
      <c r="E24" s="8"/>
    </row>
    <row r="25" spans="1:5">
      <c r="B25" s="9">
        <f>SUM(B7:B24)</f>
        <v>0</v>
      </c>
      <c r="E25" s="9">
        <f>SUM(E7:E24)</f>
        <v>300000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ce351a1-ad9b-403e-bf3b-1a3ed3900297}" enabled="0" method="" siteId="{9ce351a1-ad9b-403e-bf3b-1a3ed39002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Daily Expenses</vt:lpstr>
      <vt:lpstr>Recurring Cost</vt:lpstr>
      <vt:lpstr>Balance Sheet</vt:lpstr>
    </vt:vector>
  </TitlesOfParts>
  <Company>Hapag-Lloyd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Sawant, Vitthal</dc:creator>
  <cp:lastModifiedBy>Sawant, Vitthal</cp:lastModifiedBy>
  <dcterms:created xsi:type="dcterms:W3CDTF">2026-02-18T12:01:11Z</dcterms:created>
  <dcterms:modified xsi:type="dcterms:W3CDTF">2026-06-07T16:49:48Z</dcterms:modified>
</cp:coreProperties>
</file>